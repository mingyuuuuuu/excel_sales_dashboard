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namedSheetViews/namedSheetView1.xml" ContentType="application/vnd.ms-excel.namedsheetview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sunyice/Library/Application Support/Microsoft/"/>
    </mc:Choice>
  </mc:AlternateContent>
  <xr:revisionPtr revIDLastSave="0" documentId="8_{9C255A49-E5CF-8A44-8153-2FEB4B00D992}" xr6:coauthVersionLast="47" xr6:coauthVersionMax="47" xr10:uidLastSave="{00000000-0000-0000-0000-000000000000}"/>
  <bookViews>
    <workbookView xWindow="1140" yWindow="680" windowWidth="33060" windowHeight="20260" activeTab="2" xr2:uid="{00000000-000D-0000-FFFF-FFFF00000000}"/>
  </bookViews>
  <sheets>
    <sheet name="Pivot_calculations.xlsx" sheetId="7" r:id="rId1"/>
    <sheet name="retail_sales_dataset.xlsx" sheetId="1" r:id="rId2"/>
    <sheet name="retail_sales_dashboard.xlsx" sheetId="2" r:id="rId3"/>
  </sheets>
  <definedNames>
    <definedName name="切片器_Region">#N/A</definedName>
    <definedName name="切片器_Year">#N/A</definedName>
  </definedNames>
  <calcPr calcId="191029"/>
  <pivotCaches>
    <pivotCache cacheId="2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7" l="1"/>
  <c r="K5" i="7"/>
  <c r="K4" i="7"/>
</calcChain>
</file>

<file path=xl/sharedStrings.xml><?xml version="1.0" encoding="utf-8"?>
<sst xmlns="http://schemas.openxmlformats.org/spreadsheetml/2006/main" count="1252" uniqueCount="193">
  <si>
    <t>Year</t>
  </si>
  <si>
    <t>Month</t>
  </si>
  <si>
    <t>Region</t>
  </si>
  <si>
    <t>Customer</t>
  </si>
  <si>
    <t>Product</t>
  </si>
  <si>
    <t>Unit Price</t>
  </si>
  <si>
    <t>Quantity Sold</t>
  </si>
  <si>
    <t>Revenue</t>
  </si>
  <si>
    <t>Chongqing</t>
  </si>
  <si>
    <t>Henry Chen</t>
  </si>
  <si>
    <t>Chicken</t>
  </si>
  <si>
    <t>Zoe Li</t>
  </si>
  <si>
    <t>Biscuits</t>
  </si>
  <si>
    <t>Beijing</t>
  </si>
  <si>
    <t>Lucas Chen</t>
  </si>
  <si>
    <t>Shanghai</t>
  </si>
  <si>
    <t>Zoe Huang</t>
  </si>
  <si>
    <t>Sophia Huang</t>
  </si>
  <si>
    <t>Cookies</t>
  </si>
  <si>
    <t>Shenzhen</t>
  </si>
  <si>
    <t>Olivia Li</t>
  </si>
  <si>
    <t>Bread</t>
  </si>
  <si>
    <t>Chengdu</t>
  </si>
  <si>
    <t>Henry Wang</t>
  </si>
  <si>
    <t>Noodles</t>
  </si>
  <si>
    <t>Hangzhou</t>
  </si>
  <si>
    <t>Noah Wu</t>
  </si>
  <si>
    <t>Lucas Li</t>
  </si>
  <si>
    <t>Beef</t>
  </si>
  <si>
    <t>Mia Li</t>
  </si>
  <si>
    <t>Sophia Yang</t>
  </si>
  <si>
    <t>Noah Zhou</t>
  </si>
  <si>
    <t>Sophia Zhao</t>
  </si>
  <si>
    <t>Leo Wang</t>
  </si>
  <si>
    <t>Noah Chen</t>
  </si>
  <si>
    <t>Chloe Huang</t>
  </si>
  <si>
    <t>Mia Wu</t>
  </si>
  <si>
    <t>Jack Yang</t>
  </si>
  <si>
    <t>Emma Li</t>
  </si>
  <si>
    <t>Lily Li</t>
  </si>
  <si>
    <t>Henry Wu</t>
  </si>
  <si>
    <t>Henry Yang</t>
  </si>
  <si>
    <t>Liam Liu</t>
  </si>
  <si>
    <t>Ella Wu</t>
  </si>
  <si>
    <t>Zoe Wu</t>
  </si>
  <si>
    <t>Olivia Yang</t>
  </si>
  <si>
    <t>Noah Li</t>
  </si>
  <si>
    <t>James Zhao</t>
  </si>
  <si>
    <t>Ava Chen</t>
  </si>
  <si>
    <t>Ryan Chen</t>
  </si>
  <si>
    <t>Emma Yang</t>
  </si>
  <si>
    <t>Chloe Chen</t>
  </si>
  <si>
    <t>Mia Zhao</t>
  </si>
  <si>
    <t>Ava Yang</t>
  </si>
  <si>
    <t>Olivia Wang</t>
  </si>
  <si>
    <t>Henry Zhao</t>
  </si>
  <si>
    <t>Emma Wu</t>
  </si>
  <si>
    <t>Chloe Zhao</t>
  </si>
  <si>
    <t>Liam Huang</t>
  </si>
  <si>
    <t>Zoe Zhao</t>
  </si>
  <si>
    <t>Ryan Wu</t>
  </si>
  <si>
    <t>Ryan Zhao</t>
  </si>
  <si>
    <t>Noah Zhang</t>
  </si>
  <si>
    <t>Jack Li</t>
  </si>
  <si>
    <t>Leo Liu</t>
  </si>
  <si>
    <t>Jack Zhang</t>
  </si>
  <si>
    <t>Noah Wang</t>
  </si>
  <si>
    <t>Zoe Chen</t>
  </si>
  <si>
    <t>Mia Yang</t>
  </si>
  <si>
    <t>Ella Zhou</t>
  </si>
  <si>
    <t>Ella Li</t>
  </si>
  <si>
    <t>Zoe Zhang</t>
  </si>
  <si>
    <t>Leo Chen</t>
  </si>
  <si>
    <t>Liam Yang</t>
  </si>
  <si>
    <t>Ethan Wu</t>
  </si>
  <si>
    <t>James Huang</t>
  </si>
  <si>
    <t>Grace Chen</t>
  </si>
  <si>
    <t>Ava Zhou</t>
  </si>
  <si>
    <t>Ava Wang</t>
  </si>
  <si>
    <t>Mia Liu</t>
  </si>
  <si>
    <t>Mia Wang</t>
  </si>
  <si>
    <t>Noah Liu</t>
  </si>
  <si>
    <t>Zoe Yang</t>
  </si>
  <si>
    <t>Leo Huang</t>
  </si>
  <si>
    <t>Lucas Liu</t>
  </si>
  <si>
    <t>Lily Yang</t>
  </si>
  <si>
    <t>Lucas Huang</t>
  </si>
  <si>
    <t>Ella Huang</t>
  </si>
  <si>
    <t>Ethan Chen</t>
  </si>
  <si>
    <t>Emma Chen</t>
  </si>
  <si>
    <t>Mia Zhang</t>
  </si>
  <si>
    <t>Zoe Zhou</t>
  </si>
  <si>
    <t>Daniel Huang</t>
  </si>
  <si>
    <t>Ethan Liu</t>
  </si>
  <si>
    <t>Leo Yang</t>
  </si>
  <si>
    <t>Leo Wu</t>
  </si>
  <si>
    <t>Jack Zhou</t>
  </si>
  <si>
    <t>Chloe Wang</t>
  </si>
  <si>
    <t>Ethan Zhang</t>
  </si>
  <si>
    <t>Ryan Wang</t>
  </si>
  <si>
    <t>Sophia Wang</t>
  </si>
  <si>
    <t>James Chen</t>
  </si>
  <si>
    <t>Olivia Zhang</t>
  </si>
  <si>
    <t>Ryan Huang</t>
  </si>
  <si>
    <t>Olivia Zhou</t>
  </si>
  <si>
    <t>Grace Li</t>
  </si>
  <si>
    <t>Chloe Li</t>
  </si>
  <si>
    <t>Ava Zhang</t>
  </si>
  <si>
    <t>Lily Huang</t>
  </si>
  <si>
    <t>Lily Liu</t>
  </si>
  <si>
    <t>Mia Huang</t>
  </si>
  <si>
    <t>Daniel Yang</t>
  </si>
  <si>
    <t>Lucas Yang</t>
  </si>
  <si>
    <t>Daniel Zhou</t>
  </si>
  <si>
    <t>Grace Zhang</t>
  </si>
  <si>
    <t>Emma Wang</t>
  </si>
  <si>
    <t>Leo Zhang</t>
  </si>
  <si>
    <t>Jack Zhao</t>
  </si>
  <si>
    <t>Ryan Liu</t>
  </si>
  <si>
    <t>Lily Zhou</t>
  </si>
  <si>
    <t>Emma Zhou</t>
  </si>
  <si>
    <t>Henry Li</t>
  </si>
  <si>
    <t>Ava Li</t>
  </si>
  <si>
    <t>Jack Liu</t>
  </si>
  <si>
    <t>Lily Wang</t>
  </si>
  <si>
    <t>Liam Li</t>
  </si>
  <si>
    <t>Henry Zhou</t>
  </si>
  <si>
    <t>Noah Zhao</t>
  </si>
  <si>
    <t>Jack Wu</t>
  </si>
  <si>
    <t>Leo Li</t>
  </si>
  <si>
    <t>Ethan Huang</t>
  </si>
  <si>
    <t>Ella Zhao</t>
  </si>
  <si>
    <t>Lily Chen</t>
  </si>
  <si>
    <t>Ava Zhao</t>
  </si>
  <si>
    <t>Jack Chen</t>
  </si>
  <si>
    <t>Ethan Yang</t>
  </si>
  <si>
    <t>Leo Zhou</t>
  </si>
  <si>
    <t>Noah Huang</t>
  </si>
  <si>
    <t>Ella Wang</t>
  </si>
  <si>
    <t>Grace Huang</t>
  </si>
  <si>
    <t>Sophia Zhang</t>
  </si>
  <si>
    <t>Ava Liu</t>
  </si>
  <si>
    <t>Olivia Chen</t>
  </si>
  <si>
    <t>James Li</t>
  </si>
  <si>
    <t>Daniel Wu</t>
  </si>
  <si>
    <t>Grace Wang</t>
  </si>
  <si>
    <t>Sophia Li</t>
  </si>
  <si>
    <t>Mia Zhou</t>
  </si>
  <si>
    <t>Grace Wu</t>
  </si>
  <si>
    <t>Liam Wang</t>
  </si>
  <si>
    <t>Lucas Zhang</t>
  </si>
  <si>
    <t>Ava Wu</t>
  </si>
  <si>
    <t>Liam Zhang</t>
  </si>
  <si>
    <t>Ryan Zhou</t>
  </si>
  <si>
    <t>Ethan Li</t>
  </si>
  <si>
    <t>Lily Zhao</t>
  </si>
  <si>
    <t>Ella Yang</t>
  </si>
  <si>
    <t>Olivia Wu</t>
  </si>
  <si>
    <t>Lily Zhang</t>
  </si>
  <si>
    <t>Ethan Zhou</t>
  </si>
  <si>
    <t>Daniel Zhang</t>
  </si>
  <si>
    <t>Ethan Zhao</t>
  </si>
  <si>
    <t>Grace Liu</t>
  </si>
  <si>
    <t>Ethan Wang</t>
  </si>
  <si>
    <t>James Liu</t>
  </si>
  <si>
    <t>Olivia Liu</t>
  </si>
  <si>
    <t>Zoe Wang</t>
  </si>
  <si>
    <t>Chloe Zhang</t>
  </si>
  <si>
    <t>Lucas Wang</t>
  </si>
  <si>
    <t>Chloe Wu</t>
  </si>
  <si>
    <t>Ella Zhang</t>
  </si>
  <si>
    <t>James Zhou</t>
  </si>
  <si>
    <t>James Yang</t>
  </si>
  <si>
    <t>Zoe Liu</t>
  </si>
  <si>
    <t>Sophia Zhou</t>
  </si>
  <si>
    <t>Lucas Zhou</t>
  </si>
  <si>
    <t>Mia Chen</t>
  </si>
  <si>
    <t>Chloe Zhou</t>
  </si>
  <si>
    <t>Olivia Huang</t>
  </si>
  <si>
    <t>Emma Zhang</t>
  </si>
  <si>
    <t>Ella Chen</t>
  </si>
  <si>
    <t>Liam Wu</t>
  </si>
  <si>
    <t>James Wu</t>
  </si>
  <si>
    <t>Jack Huang</t>
  </si>
  <si>
    <t>Henry Huang</t>
  </si>
  <si>
    <t>Daniel Liu</t>
  </si>
  <si>
    <t>Emma Huang</t>
  </si>
  <si>
    <t>求和项:Revenue</t>
  </si>
  <si>
    <t>行标签</t>
  </si>
  <si>
    <t>总计</t>
  </si>
  <si>
    <t>max</t>
    <phoneticPr fontId="1" type="noConversion"/>
  </si>
  <si>
    <t>min</t>
    <phoneticPr fontId="1" type="noConversion"/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</si>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</sst>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"/>
    <numFmt numFmtId="181" formatCode="0_);[Red]\(0\)"/>
  </numFmts>
  <fonts count="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FF0000"/>
      <name val="宋体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0" fillId="0" borderId="0" xfId="0" applyAlignment="1">
      <alignment horizontal="left" indent="1"/>
    </xf>
    <xf numFmtId="181" fontId="0" fillId="0" borderId="0" xfId="0" applyNumberFormat="1"/>
    <xf numFmtId="38" fontId="0" fillId="0" borderId="0" xfId="0" applyNumberFormat="1"/>
    <xf numFmtId="0" fontId="0" fillId="3" borderId="0" xfId="0" applyFill="1" applyAlignment="1">
      <alignment horizontal="center"/>
    </xf>
  </cellXfs>
  <cellStyles count="1">
    <cellStyle name="常规" xfId="0" builtinId="0"/>
  </cellStyles>
  <dxfs count="323"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0" formatCode="General"/>
    </dxf>
    <dxf>
      <numFmt numFmtId="6" formatCode="#,##0_);[Red]\(#,##0\)"/>
    </dxf>
    <dxf>
      <numFmt numFmtId="6" formatCode="#,##0_);[Red]\(#,##0\)"/>
    </dxf>
    <dxf>
      <numFmt numFmtId="6" formatCode="#,##0_);[Red]\(#,##0\)"/>
    </dxf>
    <dxf>
      <numFmt numFmtId="6" formatCode="#,##0_);[Red]\(#,##0\)"/>
    </dxf>
    <dxf>
      <numFmt numFmtId="182" formatCode="#,##0.000_);[Red]\(#,##0.000\)"/>
    </dxf>
    <dxf>
      <numFmt numFmtId="182" formatCode="#,##0.000_);[Red]\(#,##0.000\)"/>
    </dxf>
    <dxf>
      <numFmt numFmtId="6" formatCode="#,##0_);[Red]\(#,##0\)"/>
    </dxf>
    <dxf>
      <numFmt numFmtId="181" formatCode="0_);[Red]\(0\)"/>
    </dxf>
    <dxf>
      <numFmt numFmtId="182" formatCode="#,##0.000_);[Red]\(#,##0.000\)"/>
    </dxf>
    <dxf>
      <numFmt numFmtId="182" formatCode="#,##0.000_);[Red]\(#,##0.000\)"/>
    </dxf>
    <dxf>
      <numFmt numFmtId="182" formatCode="#,##0.000_);[Red]\(#,##0.000\)"/>
    </dxf>
    <dxf>
      <numFmt numFmtId="181" formatCode="0_);[Red]\(0\)"/>
    </dxf>
    <dxf>
      <numFmt numFmtId="6" formatCode="#,##0_);[Red]\(#,##0\)"/>
    </dxf>
    <dxf>
      <numFmt numFmtId="6" formatCode="#,##0_);[Red]\(#,##0\)"/>
    </dxf>
    <dxf>
      <numFmt numFmtId="181" formatCode="0_);[Red]\(0\)"/>
    </dxf>
    <dxf>
      <numFmt numFmtId="181" formatCode="0_);[Red]\(0\)"/>
    </dxf>
    <dxf>
      <numFmt numFmtId="6" formatCode="#,##0_);[Red]\(#,##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0" formatCode="General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180" formatCode="0.0_);[Red]\(0.0\)"/>
    </dxf>
    <dxf>
      <numFmt numFmtId="181" formatCode="0_);[Red]\(0\)"/>
    </dxf>
    <dxf>
      <numFmt numFmtId="179" formatCode="0.00_);[Red]\(0.00\)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0" formatCode="General"/>
    </dxf>
    <dxf>
      <numFmt numFmtId="181" formatCode="0_);[Red]\(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1" formatCode="0_);[Red]\(0\)"/>
    </dxf>
    <dxf>
      <numFmt numFmtId="180" formatCode="0.0_);[Red]\(0.0\)"/>
    </dxf>
    <dxf>
      <numFmt numFmtId="180" formatCode="0.0_);[Red]\(0.0\)"/>
    </dxf>
    <dxf>
      <numFmt numFmtId="180" formatCode="0.0_);[Red]\(0.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179" formatCode="0.00_);[Red]\(0.00\)"/>
    </dxf>
    <dxf>
      <numFmt numFmtId="0" formatCode="General"/>
    </dxf>
    <dxf>
      <numFmt numFmtId="0" formatCode="General"/>
    </dxf>
    <dxf>
      <numFmt numFmtId="180" formatCode="0.0_);[Red]\(0.0\)"/>
    </dxf>
    <dxf>
      <numFmt numFmtId="181" formatCode="0_);[Red]\(0\)"/>
    </dxf>
    <dxf>
      <numFmt numFmtId="0" formatCode="General"/>
    </dxf>
    <dxf>
      <numFmt numFmtId="180" formatCode="0.0_);[Red]\(0.0\)"/>
    </dxf>
    <dxf>
      <numFmt numFmtId="179" formatCode="0.00_);[Red]\(0.00\)"/>
    </dxf>
    <dxf>
      <numFmt numFmtId="0" formatCode="General"/>
    </dxf>
    <dxf>
      <numFmt numFmtId="179" formatCode="0.00_);[Red]\(0.00\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calcChain" Target="calcChain.xml"/><Relationship Id="rId5" Type="http://schemas.microsoft.com/office/2007/relationships/slicerCache" Target="slicerCaches/slicerCache1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[retail_sales_dataset.xlsx]Pivot_calculations.xlsx!数据透视表8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2"/>
                </a:solidFill>
              </a:rPr>
              <a:t>Monthly</a:t>
            </a:r>
            <a:r>
              <a:rPr lang="zh-CN" altLang="en-US" b="1">
                <a:solidFill>
                  <a:schemeClr val="tx2"/>
                </a:solidFill>
              </a:rPr>
              <a:t> </a:t>
            </a:r>
            <a:r>
              <a:rPr lang="en-US" altLang="zh-CN" b="1">
                <a:solidFill>
                  <a:schemeClr val="tx2"/>
                </a:solidFill>
              </a:rPr>
              <a:t>Revenue</a:t>
            </a:r>
            <a:r>
              <a:rPr lang="zh-CN" altLang="en-US" b="1">
                <a:solidFill>
                  <a:schemeClr val="tx2"/>
                </a:solidFill>
              </a:rPr>
              <a:t> </a:t>
            </a:r>
            <a:r>
              <a:rPr lang="en-US" altLang="zh-CN" b="1">
                <a:solidFill>
                  <a:schemeClr val="tx2"/>
                </a:solidFill>
              </a:rPr>
              <a:t>Trend</a:t>
            </a:r>
            <a:endParaRPr lang="zh-CN" altLang="en-US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1.2373086462417436E-2"/>
          <c:y val="4.030856684001466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tx2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Pivot_calculations.xlsx!$N$4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Pivot_calculations.xlsx!$M$5:$M$18</c:f>
              <c:multiLvlStrCache>
                <c:ptCount val="12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</c:lvl>
                <c:lvl>
                  <c:pt idx="0">
                    <c:v>2023</c:v>
                  </c:pt>
                </c:lvl>
              </c:multiLvlStrCache>
            </c:multiLvlStrRef>
          </c:cat>
          <c:val>
            <c:numRef>
              <c:f>Pivot_calculations.xlsx!$N$5:$N$18</c:f>
              <c:numCache>
                <c:formatCode>0_);[Red]\(0\)</c:formatCode>
                <c:ptCount val="12"/>
                <c:pt idx="0">
                  <c:v>2113.3000000000002</c:v>
                </c:pt>
                <c:pt idx="1">
                  <c:v>1933.9</c:v>
                </c:pt>
                <c:pt idx="2">
                  <c:v>2351.9</c:v>
                </c:pt>
                <c:pt idx="3">
                  <c:v>1939.8</c:v>
                </c:pt>
                <c:pt idx="4">
                  <c:v>2335.1</c:v>
                </c:pt>
                <c:pt idx="5">
                  <c:v>3706.1</c:v>
                </c:pt>
                <c:pt idx="6">
                  <c:v>2478.3000000000002</c:v>
                </c:pt>
                <c:pt idx="7">
                  <c:v>3559.7999999999997</c:v>
                </c:pt>
                <c:pt idx="8">
                  <c:v>4518.3</c:v>
                </c:pt>
                <c:pt idx="9">
                  <c:v>4054.5</c:v>
                </c:pt>
                <c:pt idx="10">
                  <c:v>1013.7</c:v>
                </c:pt>
                <c:pt idx="11">
                  <c:v>1787.6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34-AB49-9CAA-6C28C2A4D2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3439552"/>
        <c:axId val="1113435072"/>
      </c:lineChart>
      <c:catAx>
        <c:axId val="1113439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ln w="0" cap="rnd" cmpd="sng">
                  <a:solidFill>
                    <a:schemeClr val="tx2"/>
                  </a:solidFill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3435072"/>
        <c:crosses val="autoZero"/>
        <c:auto val="1"/>
        <c:lblAlgn val="ctr"/>
        <c:lblOffset val="100"/>
        <c:noMultiLvlLbl val="0"/>
      </c:catAx>
      <c:valAx>
        <c:axId val="11134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ln w="0" cap="rnd" cmpd="sng">
                  <a:solidFill>
                    <a:schemeClr val="tx2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13439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[retail_sales_dataset.xlsx]Pivot_calculations.xlsx!数据透视表10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2"/>
                </a:solidFill>
                <a:latin typeface="+mn-lt"/>
              </a:rPr>
              <a:t>Product</a:t>
            </a:r>
            <a:r>
              <a:rPr lang="zh-CN" altLang="en-US" b="1">
                <a:solidFill>
                  <a:schemeClr val="tx2"/>
                </a:solidFill>
                <a:latin typeface="+mn-lt"/>
              </a:rPr>
              <a:t> </a:t>
            </a:r>
            <a:r>
              <a:rPr lang="en-US" altLang="zh-CN" b="1">
                <a:solidFill>
                  <a:schemeClr val="tx2"/>
                </a:solidFill>
                <a:latin typeface="+mn-lt"/>
              </a:rPr>
              <a:t>Distribution</a:t>
            </a:r>
            <a:endParaRPr lang="zh-CN" altLang="en-US" b="1">
              <a:solidFill>
                <a:schemeClr val="tx2"/>
              </a:solidFill>
              <a:latin typeface="+mn-lt"/>
            </a:endParaRPr>
          </a:p>
        </c:rich>
      </c:tx>
      <c:layout>
        <c:manualLayout>
          <c:xMode val="edge"/>
          <c:yMode val="edge"/>
          <c:x val="5.048354798482866E-2"/>
          <c:y val="4.71231438726588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2060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tx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tx2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tx2">
              <a:lumMod val="20000"/>
              <a:lumOff val="8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Pivot_calculations.xlsx!$Q$4</c:f>
              <c:strCache>
                <c:ptCount val="1"/>
                <c:pt idx="0">
                  <c:v>汇总</c:v>
                </c:pt>
              </c:strCache>
            </c:strRef>
          </c:tx>
          <c:dPt>
            <c:idx val="0"/>
            <c:bubble3D val="0"/>
            <c:spPr>
              <a:solidFill>
                <a:srgbClr val="00206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120-524E-9F43-D43E5CEB5992}"/>
              </c:ext>
            </c:extLst>
          </c:dPt>
          <c:dPt>
            <c:idx val="1"/>
            <c:bubble3D val="0"/>
            <c:spPr>
              <a:solidFill>
                <a:schemeClr val="tx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120-524E-9F43-D43E5CEB5992}"/>
              </c:ext>
            </c:extLst>
          </c:dPt>
          <c:dPt>
            <c:idx val="2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120-524E-9F43-D43E5CEB5992}"/>
              </c:ext>
            </c:extLst>
          </c:dPt>
          <c:dPt>
            <c:idx val="3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120-524E-9F43-D43E5CEB5992}"/>
              </c:ext>
            </c:extLst>
          </c:dPt>
          <c:dPt>
            <c:idx val="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120-524E-9F43-D43E5CEB5992}"/>
              </c:ext>
            </c:extLst>
          </c:dPt>
          <c:dPt>
            <c:idx val="5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120-524E-9F43-D43E5CEB599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Pivot_calculations.xlsx!$P$5:$P$11</c:f>
              <c:strCache>
                <c:ptCount val="6"/>
                <c:pt idx="0">
                  <c:v>Beef</c:v>
                </c:pt>
                <c:pt idx="1">
                  <c:v>Biscuits</c:v>
                </c:pt>
                <c:pt idx="2">
                  <c:v>Bread</c:v>
                </c:pt>
                <c:pt idx="3">
                  <c:v>Chicken</c:v>
                </c:pt>
                <c:pt idx="4">
                  <c:v>Cookies</c:v>
                </c:pt>
                <c:pt idx="5">
                  <c:v>Noodles</c:v>
                </c:pt>
              </c:strCache>
            </c:strRef>
          </c:cat>
          <c:val>
            <c:numRef>
              <c:f>Pivot_calculations.xlsx!$Q$5:$Q$11</c:f>
              <c:numCache>
                <c:formatCode>0_);[Red]\(0\)</c:formatCode>
                <c:ptCount val="6"/>
                <c:pt idx="0">
                  <c:v>7227</c:v>
                </c:pt>
                <c:pt idx="1">
                  <c:v>3900.4</c:v>
                </c:pt>
                <c:pt idx="2">
                  <c:v>9029.7999999999993</c:v>
                </c:pt>
                <c:pt idx="3">
                  <c:v>5419.4000000000005</c:v>
                </c:pt>
                <c:pt idx="4">
                  <c:v>3471.7</c:v>
                </c:pt>
                <c:pt idx="5">
                  <c:v>2744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120-524E-9F43-D43E5CEB599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[retail_sales_dataset.xlsx]Pivot_calculations.xlsx!数据透视表11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>
                <a:solidFill>
                  <a:schemeClr val="tx2"/>
                </a:solidFill>
              </a:rPr>
              <a:t>Top</a:t>
            </a:r>
            <a:r>
              <a:rPr lang="zh-CN" altLang="en-US" b="1">
                <a:solidFill>
                  <a:schemeClr val="tx2"/>
                </a:solidFill>
              </a:rPr>
              <a:t> </a:t>
            </a:r>
            <a:r>
              <a:rPr lang="en-US" altLang="zh-CN" b="1">
                <a:solidFill>
                  <a:schemeClr val="tx2"/>
                </a:solidFill>
              </a:rPr>
              <a:t>10</a:t>
            </a:r>
            <a:r>
              <a:rPr lang="zh-CN" altLang="en-US" b="1">
                <a:solidFill>
                  <a:schemeClr val="tx2"/>
                </a:solidFill>
              </a:rPr>
              <a:t> </a:t>
            </a:r>
            <a:r>
              <a:rPr lang="en-US" altLang="zh-CN" b="1">
                <a:solidFill>
                  <a:schemeClr val="tx2"/>
                </a:solidFill>
              </a:rPr>
              <a:t>Customers</a:t>
            </a:r>
            <a:r>
              <a:rPr lang="zh-CN" altLang="en-US" b="1">
                <a:solidFill>
                  <a:schemeClr val="tx2"/>
                </a:solidFill>
              </a:rPr>
              <a:t> </a:t>
            </a:r>
          </a:p>
        </c:rich>
      </c:tx>
      <c:layout>
        <c:manualLayout>
          <c:xMode val="edge"/>
          <c:yMode val="edge"/>
          <c:x val="5.4896708750110795E-2"/>
          <c:y val="2.15626711112557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Pivot_calculations.xlsx!$T$4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Pivot_calculations.xlsx!$S$5:$S$15</c:f>
              <c:strCache>
                <c:ptCount val="10"/>
                <c:pt idx="0">
                  <c:v>Grace Li</c:v>
                </c:pt>
                <c:pt idx="1">
                  <c:v>Henry Zhou</c:v>
                </c:pt>
                <c:pt idx="2">
                  <c:v>Henry Wu</c:v>
                </c:pt>
                <c:pt idx="3">
                  <c:v>Lucas Li</c:v>
                </c:pt>
                <c:pt idx="4">
                  <c:v>Leo Liu</c:v>
                </c:pt>
                <c:pt idx="5">
                  <c:v>Jack Zhao</c:v>
                </c:pt>
                <c:pt idx="6">
                  <c:v>Ryan Huang</c:v>
                </c:pt>
                <c:pt idx="7">
                  <c:v>Sophia Zhang</c:v>
                </c:pt>
                <c:pt idx="8">
                  <c:v>Liam Yang</c:v>
                </c:pt>
                <c:pt idx="9">
                  <c:v>James Li</c:v>
                </c:pt>
              </c:strCache>
            </c:strRef>
          </c:cat>
          <c:val>
            <c:numRef>
              <c:f>Pivot_calculations.xlsx!$T$5:$T$15</c:f>
              <c:numCache>
                <c:formatCode>0_);[Red]\(0\)</c:formatCode>
                <c:ptCount val="10"/>
                <c:pt idx="0">
                  <c:v>1682.3000000000002</c:v>
                </c:pt>
                <c:pt idx="1">
                  <c:v>1435.5</c:v>
                </c:pt>
                <c:pt idx="2">
                  <c:v>1287</c:v>
                </c:pt>
                <c:pt idx="3">
                  <c:v>1287</c:v>
                </c:pt>
                <c:pt idx="4">
                  <c:v>1284.7</c:v>
                </c:pt>
                <c:pt idx="5">
                  <c:v>1237.5</c:v>
                </c:pt>
                <c:pt idx="6">
                  <c:v>1218.0999999999999</c:v>
                </c:pt>
                <c:pt idx="7">
                  <c:v>1022.6999999999999</c:v>
                </c:pt>
                <c:pt idx="8">
                  <c:v>819.5</c:v>
                </c:pt>
                <c:pt idx="9">
                  <c:v>802.2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B2-D948-976C-EB49A8FE4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501951"/>
        <c:axId val="384504639"/>
      </c:barChart>
      <c:catAx>
        <c:axId val="384501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1800000" spcFirstLastPara="1" vertOverflow="ellipsis" vert="horz" wrap="square" anchor="b" anchorCtr="0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4504639"/>
        <c:crosses val="autoZero"/>
        <c:auto val="1"/>
        <c:lblAlgn val="ctr"/>
        <c:lblOffset val="100"/>
        <c:noMultiLvlLbl val="0"/>
      </c:catAx>
      <c:valAx>
        <c:axId val="384504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45019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[retail_sales_dataset.xlsx]Pivot_calculations.xlsx!数据透视表12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altLang="zh-CN" sz="1600" b="1">
                <a:solidFill>
                  <a:schemeClr val="tx2"/>
                </a:solidFill>
              </a:rPr>
              <a:t>Region</a:t>
            </a:r>
            <a:r>
              <a:rPr lang="zh-CN" altLang="en-US" sz="1600" b="1">
                <a:solidFill>
                  <a:schemeClr val="tx2"/>
                </a:solidFill>
              </a:rPr>
              <a:t> </a:t>
            </a:r>
            <a:r>
              <a:rPr lang="en-US" altLang="zh-CN" sz="1600" b="1">
                <a:solidFill>
                  <a:schemeClr val="tx2"/>
                </a:solidFill>
              </a:rPr>
              <a:t>Distribution</a:t>
            </a:r>
            <a:endParaRPr lang="zh-CN" altLang="en-US" sz="1600" b="1">
              <a:solidFill>
                <a:schemeClr val="tx2"/>
              </a:solidFill>
            </a:endParaRPr>
          </a:p>
        </c:rich>
      </c:tx>
      <c:layout>
        <c:manualLayout>
          <c:xMode val="edge"/>
          <c:yMode val="edge"/>
          <c:x val="4.0925427839582459E-2"/>
          <c:y val="5.42463231564525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CN" altLang="en-US"/>
        </a:p>
      </c:txPr>
    </c:title>
    <c:autoTitleDeleted val="0"/>
    <c:pivotFmts>
      <c:pivotFmt>
        <c:idx val="0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Pivot_calculations.xlsx!$W$4</c:f>
              <c:strCache>
                <c:ptCount val="1"/>
                <c:pt idx="0">
                  <c:v>汇总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Pivot_calculations.xlsx!$V$5:$V$9</c:f>
              <c:strCache>
                <c:ptCount val="4"/>
                <c:pt idx="0">
                  <c:v>Chengdu</c:v>
                </c:pt>
                <c:pt idx="1">
                  <c:v>Hangzhou</c:v>
                </c:pt>
                <c:pt idx="2">
                  <c:v>Shanghai</c:v>
                </c:pt>
                <c:pt idx="3">
                  <c:v>Shenzhen</c:v>
                </c:pt>
              </c:strCache>
            </c:strRef>
          </c:cat>
          <c:val>
            <c:numRef>
              <c:f>Pivot_calculations.xlsx!$W$5:$W$9</c:f>
              <c:numCache>
                <c:formatCode>0_);[Red]\(0\)</c:formatCode>
                <c:ptCount val="4"/>
                <c:pt idx="0">
                  <c:v>6378.3</c:v>
                </c:pt>
                <c:pt idx="1">
                  <c:v>4408.2</c:v>
                </c:pt>
                <c:pt idx="2">
                  <c:v>3589.4</c:v>
                </c:pt>
                <c:pt idx="3">
                  <c:v>4159.4000000000005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CB-DD4E-AAE1-F8FE90AC06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4871743"/>
        <c:axId val="284870399"/>
      </c:barChart>
      <c:catAx>
        <c:axId val="2848717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870399"/>
        <c:crosses val="autoZero"/>
        <c:auto val="1"/>
        <c:lblAlgn val="ctr"/>
        <c:lblOffset val="100"/>
        <c:noMultiLvlLbl val="0"/>
      </c:catAx>
      <c:valAx>
        <c:axId val="28487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8487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3.xml"/><Relationship Id="rId5" Type="http://schemas.openxmlformats.org/officeDocument/2006/relationships/image" Target="../media/image5.png"/><Relationship Id="rId10" Type="http://schemas.openxmlformats.org/officeDocument/2006/relationships/chart" Target="../charts/chart2.xml"/><Relationship Id="rId4" Type="http://schemas.openxmlformats.org/officeDocument/2006/relationships/image" Target="../media/image4.svg"/><Relationship Id="rId9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240308</xdr:colOff>
      <xdr:row>5</xdr:row>
      <xdr:rowOff>155057</xdr:rowOff>
    </xdr:from>
    <xdr:to>
      <xdr:col>1</xdr:col>
      <xdr:colOff>419171</xdr:colOff>
      <xdr:row>12</xdr:row>
      <xdr:rowOff>44302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Year">
              <a:extLst>
                <a:ext uri="{FF2B5EF4-FFF2-40B4-BE49-F238E27FC236}">
                  <a16:creationId xmlns:a16="http://schemas.microsoft.com/office/drawing/2014/main" id="{2C4ED829-8DA6-AE45-82C3-74EAABB4EF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0308" y="1051069"/>
              <a:ext cx="1004753" cy="1143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25</xdr:col>
      <xdr:colOff>254000</xdr:colOff>
      <xdr:row>20</xdr:row>
      <xdr:rowOff>36286</xdr:rowOff>
    </xdr:from>
    <xdr:to>
      <xdr:col>36</xdr:col>
      <xdr:colOff>217715</xdr:colOff>
      <xdr:row>31</xdr:row>
      <xdr:rowOff>36285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E13A9484-B1EC-6DD0-09A0-73479608043C}"/>
            </a:ext>
          </a:extLst>
        </xdr:cNvPr>
        <xdr:cNvSpPr txBox="1"/>
      </xdr:nvSpPr>
      <xdr:spPr>
        <a:xfrm>
          <a:off x="21118286" y="3664857"/>
          <a:ext cx="9144000" cy="1995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 sz="1100"/>
        </a:p>
      </xdr:txBody>
    </xdr:sp>
    <xdr:clientData/>
  </xdr:twoCellAnchor>
  <xdr:twoCellAnchor>
    <xdr:from>
      <xdr:col>3</xdr:col>
      <xdr:colOff>704224</xdr:colOff>
      <xdr:row>0</xdr:row>
      <xdr:rowOff>147084</xdr:rowOff>
    </xdr:from>
    <xdr:to>
      <xdr:col>10</xdr:col>
      <xdr:colOff>295349</xdr:colOff>
      <xdr:row>3</xdr:row>
      <xdr:rowOff>166134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A9923221-040D-2DB1-09CB-BE943C007C8F}"/>
            </a:ext>
          </a:extLst>
        </xdr:cNvPr>
        <xdr:cNvSpPr txBox="1"/>
      </xdr:nvSpPr>
      <xdr:spPr>
        <a:xfrm>
          <a:off x="3173104" y="147084"/>
          <a:ext cx="5351845" cy="567690"/>
        </a:xfrm>
        <a:prstGeom prst="rect">
          <a:avLst/>
        </a:prstGeom>
        <a:noFill/>
        <a:ln>
          <a:noFill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2400" b="1">
              <a:solidFill>
                <a:schemeClr val="tx2"/>
              </a:solidFill>
              <a:latin typeface="Helvetica" pitchFamily="2" charset="0"/>
            </a:rPr>
            <a:t>Sales Performance</a:t>
          </a:r>
          <a:r>
            <a:rPr lang="en-US" altLang="zh-CN" sz="2400" b="1" baseline="0">
              <a:solidFill>
                <a:schemeClr val="tx2"/>
              </a:solidFill>
              <a:latin typeface="Helvetica" pitchFamily="2" charset="0"/>
            </a:rPr>
            <a:t> Dashboard</a:t>
          </a:r>
          <a:endParaRPr lang="zh-CN" altLang="en-US" sz="2400" b="1">
            <a:solidFill>
              <a:schemeClr val="tx2"/>
            </a:solidFill>
            <a:latin typeface="Helvetica" pitchFamily="2" charset="0"/>
          </a:endParaRPr>
        </a:p>
      </xdr:txBody>
    </xdr:sp>
    <xdr:clientData/>
  </xdr:twoCellAnchor>
  <xdr:twoCellAnchor>
    <xdr:from>
      <xdr:col>0</xdr:col>
      <xdr:colOff>215900</xdr:colOff>
      <xdr:row>4</xdr:row>
      <xdr:rowOff>107950</xdr:rowOff>
    </xdr:from>
    <xdr:to>
      <xdr:col>1</xdr:col>
      <xdr:colOff>425450</xdr:colOff>
      <xdr:row>6</xdr:row>
      <xdr:rowOff>19050</xdr:rowOff>
    </xdr:to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82A9ECB-C03E-19E5-D3D5-9BD9D3EA1B60}"/>
            </a:ext>
          </a:extLst>
        </xdr:cNvPr>
        <xdr:cNvSpPr txBox="1"/>
      </xdr:nvSpPr>
      <xdr:spPr>
        <a:xfrm>
          <a:off x="215900" y="996950"/>
          <a:ext cx="1035050" cy="266700"/>
        </a:xfrm>
        <a:prstGeom prst="rect">
          <a:avLst/>
        </a:prstGeom>
        <a:solidFill>
          <a:schemeClr val="bg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solidFill>
                <a:schemeClr val="tx2"/>
              </a:solidFill>
            </a:rPr>
            <a:t>   Year</a:t>
          </a:r>
          <a:endParaRPr lang="zh-CN" altLang="en-US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317500</xdr:colOff>
      <xdr:row>3</xdr:row>
      <xdr:rowOff>19050</xdr:rowOff>
    </xdr:from>
    <xdr:to>
      <xdr:col>1</xdr:col>
      <xdr:colOff>184150</xdr:colOff>
      <xdr:row>4</xdr:row>
      <xdr:rowOff>146821</xdr:rowOff>
    </xdr:to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E1096FC7-F32C-06DC-5F20-80B28328FADE}"/>
            </a:ext>
          </a:extLst>
        </xdr:cNvPr>
        <xdr:cNvSpPr txBox="1"/>
      </xdr:nvSpPr>
      <xdr:spPr>
        <a:xfrm>
          <a:off x="317500" y="550678"/>
          <a:ext cx="693627" cy="3049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400" b="1">
              <a:solidFill>
                <a:schemeClr val="tx2"/>
              </a:solidFill>
            </a:rPr>
            <a:t>Filters</a:t>
          </a:r>
          <a:endParaRPr lang="zh-CN" altLang="en-US" sz="1400" b="1">
            <a:solidFill>
              <a:schemeClr val="tx2"/>
            </a:solidFill>
          </a:endParaRPr>
        </a:p>
      </xdr:txBody>
    </xdr:sp>
    <xdr:clientData/>
  </xdr:twoCellAnchor>
  <xdr:twoCellAnchor>
    <xdr:from>
      <xdr:col>5</xdr:col>
      <xdr:colOff>735206</xdr:colOff>
      <xdr:row>3</xdr:row>
      <xdr:rowOff>78770</xdr:rowOff>
    </xdr:from>
    <xdr:to>
      <xdr:col>7</xdr:col>
      <xdr:colOff>528320</xdr:colOff>
      <xdr:row>7</xdr:row>
      <xdr:rowOff>167670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C76BECDA-2235-8842-AB1C-A44EC5DC8AC8}"/>
            </a:ext>
          </a:extLst>
        </xdr:cNvPr>
        <xdr:cNvSpPr/>
      </xdr:nvSpPr>
      <xdr:spPr>
        <a:xfrm>
          <a:off x="4850006" y="627410"/>
          <a:ext cx="1439034" cy="82042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690880</xdr:colOff>
      <xdr:row>3</xdr:row>
      <xdr:rowOff>77778</xdr:rowOff>
    </xdr:from>
    <xdr:to>
      <xdr:col>9</xdr:col>
      <xdr:colOff>454441</xdr:colOff>
      <xdr:row>7</xdr:row>
      <xdr:rowOff>166678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5422B122-1E16-6B4D-8738-E57CE89FEA7A}"/>
            </a:ext>
          </a:extLst>
        </xdr:cNvPr>
        <xdr:cNvSpPr/>
      </xdr:nvSpPr>
      <xdr:spPr>
        <a:xfrm>
          <a:off x="6456599" y="613369"/>
          <a:ext cx="1410909" cy="803021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596456</xdr:colOff>
      <xdr:row>3</xdr:row>
      <xdr:rowOff>80752</xdr:rowOff>
    </xdr:from>
    <xdr:to>
      <xdr:col>11</xdr:col>
      <xdr:colOff>425551</xdr:colOff>
      <xdr:row>7</xdr:row>
      <xdr:rowOff>169652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2AC0858D-60C9-8F43-833B-D43BE67F02A2}"/>
            </a:ext>
          </a:extLst>
        </xdr:cNvPr>
        <xdr:cNvSpPr/>
      </xdr:nvSpPr>
      <xdr:spPr>
        <a:xfrm>
          <a:off x="8016980" y="619338"/>
          <a:ext cx="1478100" cy="807016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668035</xdr:colOff>
      <xdr:row>3</xdr:row>
      <xdr:rowOff>80752</xdr:rowOff>
    </xdr:from>
    <xdr:to>
      <xdr:col>5</xdr:col>
      <xdr:colOff>528335</xdr:colOff>
      <xdr:row>7</xdr:row>
      <xdr:rowOff>169652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E91C1111-6525-EE41-ABC1-E02E38191B76}"/>
            </a:ext>
          </a:extLst>
        </xdr:cNvPr>
        <xdr:cNvSpPr/>
      </xdr:nvSpPr>
      <xdr:spPr>
        <a:xfrm>
          <a:off x="3148965" y="612380"/>
          <a:ext cx="1514254" cy="797737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640080</xdr:colOff>
      <xdr:row>3</xdr:row>
      <xdr:rowOff>73410</xdr:rowOff>
    </xdr:from>
    <xdr:to>
      <xdr:col>3</xdr:col>
      <xdr:colOff>528320</xdr:colOff>
      <xdr:row>7</xdr:row>
      <xdr:rowOff>162310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983CD7C-136A-4F27-D2B9-F9BA9EAD380C}"/>
            </a:ext>
          </a:extLst>
        </xdr:cNvPr>
        <xdr:cNvSpPr/>
      </xdr:nvSpPr>
      <xdr:spPr>
        <a:xfrm>
          <a:off x="1463040" y="622050"/>
          <a:ext cx="1534160" cy="820420"/>
        </a:xfrm>
        <a:prstGeom prst="rect">
          <a:avLst/>
        </a:prstGeom>
        <a:solidFill>
          <a:schemeClr val="bg1"/>
        </a:solidFill>
        <a:ln w="3175">
          <a:solidFill>
            <a:schemeClr val="bg1">
              <a:lumMod val="75000"/>
            </a:schemeClr>
          </a:solidFill>
        </a:ln>
        <a:effectLst>
          <a:softEdge rad="0"/>
        </a:effectLst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689971</xdr:colOff>
      <xdr:row>4</xdr:row>
      <xdr:rowOff>44302</xdr:rowOff>
    </xdr:from>
    <xdr:to>
      <xdr:col>2</xdr:col>
      <xdr:colOff>251046</xdr:colOff>
      <xdr:row>6</xdr:row>
      <xdr:rowOff>73837</xdr:rowOff>
    </xdr:to>
    <xdr:sp macro="" textlink="">
      <xdr:nvSpPr>
        <xdr:cNvPr id="22" name="椭圆 21">
          <a:extLst>
            <a:ext uri="{FF2B5EF4-FFF2-40B4-BE49-F238E27FC236}">
              <a16:creationId xmlns:a16="http://schemas.microsoft.com/office/drawing/2014/main" id="{B0ECA270-3207-03A5-1DA7-816DBC7AD110}"/>
            </a:ext>
          </a:extLst>
        </xdr:cNvPr>
        <xdr:cNvSpPr/>
      </xdr:nvSpPr>
      <xdr:spPr>
        <a:xfrm>
          <a:off x="1516948" y="753139"/>
          <a:ext cx="388051" cy="383954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764451</xdr:colOff>
      <xdr:row>4</xdr:row>
      <xdr:rowOff>18609</xdr:rowOff>
    </xdr:from>
    <xdr:to>
      <xdr:col>4</xdr:col>
      <xdr:colOff>317500</xdr:colOff>
      <xdr:row>6</xdr:row>
      <xdr:rowOff>51686</xdr:rowOff>
    </xdr:to>
    <xdr:sp macro="" textlink="">
      <xdr:nvSpPr>
        <xdr:cNvPr id="23" name="椭圆 22">
          <a:extLst>
            <a:ext uri="{FF2B5EF4-FFF2-40B4-BE49-F238E27FC236}">
              <a16:creationId xmlns:a16="http://schemas.microsoft.com/office/drawing/2014/main" id="{EED47455-4028-9642-AD41-B21620276963}"/>
            </a:ext>
          </a:extLst>
        </xdr:cNvPr>
        <xdr:cNvSpPr/>
      </xdr:nvSpPr>
      <xdr:spPr>
        <a:xfrm>
          <a:off x="3245381" y="727446"/>
          <a:ext cx="380026" cy="387496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17235</xdr:colOff>
      <xdr:row>4</xdr:row>
      <xdr:rowOff>1861</xdr:rowOff>
    </xdr:from>
    <xdr:to>
      <xdr:col>6</xdr:col>
      <xdr:colOff>398720</xdr:colOff>
      <xdr:row>6</xdr:row>
      <xdr:rowOff>29536</xdr:rowOff>
    </xdr:to>
    <xdr:sp macro="" textlink="">
      <xdr:nvSpPr>
        <xdr:cNvPr id="24" name="椭圆 23">
          <a:extLst>
            <a:ext uri="{FF2B5EF4-FFF2-40B4-BE49-F238E27FC236}">
              <a16:creationId xmlns:a16="http://schemas.microsoft.com/office/drawing/2014/main" id="{B06736F9-9B38-0F43-A97A-B466F20B01BB}"/>
            </a:ext>
          </a:extLst>
        </xdr:cNvPr>
        <xdr:cNvSpPr/>
      </xdr:nvSpPr>
      <xdr:spPr>
        <a:xfrm>
          <a:off x="4979095" y="710698"/>
          <a:ext cx="381485" cy="382094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769887</xdr:colOff>
      <xdr:row>4</xdr:row>
      <xdr:rowOff>61829</xdr:rowOff>
    </xdr:from>
    <xdr:to>
      <xdr:col>8</xdr:col>
      <xdr:colOff>320543</xdr:colOff>
      <xdr:row>6</xdr:row>
      <xdr:rowOff>81150</xdr:rowOff>
    </xdr:to>
    <xdr:sp macro="" textlink="">
      <xdr:nvSpPr>
        <xdr:cNvPr id="25" name="椭圆 24">
          <a:extLst>
            <a:ext uri="{FF2B5EF4-FFF2-40B4-BE49-F238E27FC236}">
              <a16:creationId xmlns:a16="http://schemas.microsoft.com/office/drawing/2014/main" id="{1C026FED-93D3-B644-8A2C-BAC1709955F1}"/>
            </a:ext>
          </a:extLst>
        </xdr:cNvPr>
        <xdr:cNvSpPr/>
      </xdr:nvSpPr>
      <xdr:spPr>
        <a:xfrm>
          <a:off x="6535606" y="775950"/>
          <a:ext cx="374330" cy="376382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663329</xdr:colOff>
      <xdr:row>4</xdr:row>
      <xdr:rowOff>49495</xdr:rowOff>
    </xdr:from>
    <xdr:to>
      <xdr:col>10</xdr:col>
      <xdr:colOff>233511</xdr:colOff>
      <xdr:row>6</xdr:row>
      <xdr:rowOff>86200</xdr:rowOff>
    </xdr:to>
    <xdr:sp macro="" textlink="">
      <xdr:nvSpPr>
        <xdr:cNvPr id="26" name="椭圆 25">
          <a:extLst>
            <a:ext uri="{FF2B5EF4-FFF2-40B4-BE49-F238E27FC236}">
              <a16:creationId xmlns:a16="http://schemas.microsoft.com/office/drawing/2014/main" id="{548B9EEF-3B8F-B845-A56F-6B8D8F5475F7}"/>
            </a:ext>
          </a:extLst>
        </xdr:cNvPr>
        <xdr:cNvSpPr/>
      </xdr:nvSpPr>
      <xdr:spPr>
        <a:xfrm>
          <a:off x="8076396" y="763616"/>
          <a:ext cx="393856" cy="393766"/>
        </a:xfrm>
        <a:prstGeom prst="ellipse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812210</xdr:colOff>
      <xdr:row>4</xdr:row>
      <xdr:rowOff>59070</xdr:rowOff>
    </xdr:from>
    <xdr:to>
      <xdr:col>4</xdr:col>
      <xdr:colOff>273199</xdr:colOff>
      <xdr:row>5</xdr:row>
      <xdr:rowOff>169826</xdr:rowOff>
    </xdr:to>
    <xdr:pic>
      <xdr:nvPicPr>
        <xdr:cNvPr id="28" name="图形 27" descr="标记 纯色填充">
          <a:extLst>
            <a:ext uri="{FF2B5EF4-FFF2-40B4-BE49-F238E27FC236}">
              <a16:creationId xmlns:a16="http://schemas.microsoft.com/office/drawing/2014/main" id="{3CDA79BA-868E-4EA8-46D8-8BD697686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93140" y="767907"/>
          <a:ext cx="287966" cy="287966"/>
        </a:xfrm>
        <a:prstGeom prst="rect">
          <a:avLst/>
        </a:prstGeom>
      </xdr:spPr>
    </xdr:pic>
    <xdr:clientData/>
  </xdr:twoCellAnchor>
  <xdr:twoCellAnchor>
    <xdr:from>
      <xdr:col>2</xdr:col>
      <xdr:colOff>228896</xdr:colOff>
      <xdr:row>3</xdr:row>
      <xdr:rowOff>118139</xdr:rowOff>
    </xdr:from>
    <xdr:to>
      <xdr:col>3</xdr:col>
      <xdr:colOff>435641</xdr:colOff>
      <xdr:row>4</xdr:row>
      <xdr:rowOff>125523</xdr:rowOff>
    </xdr:to>
    <xdr:sp macro="" textlink="">
      <xdr:nvSpPr>
        <xdr:cNvPr id="40" name="文本框 39">
          <a:extLst>
            <a:ext uri="{FF2B5EF4-FFF2-40B4-BE49-F238E27FC236}">
              <a16:creationId xmlns:a16="http://schemas.microsoft.com/office/drawing/2014/main" id="{88188BBF-52DA-F93C-4FCC-703B370478D0}"/>
            </a:ext>
          </a:extLst>
        </xdr:cNvPr>
        <xdr:cNvSpPr txBox="1"/>
      </xdr:nvSpPr>
      <xdr:spPr>
        <a:xfrm>
          <a:off x="1882849" y="649767"/>
          <a:ext cx="1033722" cy="18459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>
              <a:solidFill>
                <a:schemeClr val="tx2"/>
              </a:solidFill>
              <a:latin typeface="+mn-lt"/>
            </a:rPr>
            <a:t>Annual</a:t>
          </a:r>
          <a:r>
            <a:rPr lang="zh-CN" altLang="en-US" sz="1000">
              <a:solidFill>
                <a:schemeClr val="tx2"/>
              </a:solidFill>
              <a:latin typeface="+mn-lt"/>
            </a:rPr>
            <a:t> </a:t>
          </a:r>
          <a:r>
            <a:rPr lang="en-US" altLang="zh-CN" sz="1000">
              <a:solidFill>
                <a:schemeClr val="tx2"/>
              </a:solidFill>
              <a:latin typeface="+mn-lt"/>
            </a:rPr>
            <a:t>Revenue</a:t>
          </a:r>
          <a:endParaRPr lang="zh-CN" altLang="en-US" sz="1000">
            <a:solidFill>
              <a:schemeClr val="tx2"/>
            </a:solidFill>
            <a:latin typeface="+mn-lt"/>
          </a:endParaRPr>
        </a:p>
      </xdr:txBody>
    </xdr:sp>
    <xdr:clientData/>
  </xdr:twoCellAnchor>
  <xdr:twoCellAnchor editAs="oneCell">
    <xdr:from>
      <xdr:col>6</xdr:col>
      <xdr:colOff>51687</xdr:colOff>
      <xdr:row>4</xdr:row>
      <xdr:rowOff>44305</xdr:rowOff>
    </xdr:from>
    <xdr:to>
      <xdr:col>6</xdr:col>
      <xdr:colOff>354419</xdr:colOff>
      <xdr:row>5</xdr:row>
      <xdr:rowOff>169827</xdr:rowOff>
    </xdr:to>
    <xdr:pic>
      <xdr:nvPicPr>
        <xdr:cNvPr id="30" name="图形 29" descr="上箭头 纯色填充">
          <a:extLst>
            <a:ext uri="{FF2B5EF4-FFF2-40B4-BE49-F238E27FC236}">
              <a16:creationId xmlns:a16="http://schemas.microsoft.com/office/drawing/2014/main" id="{A462E60F-196A-0DEF-8205-82EAAF785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013547" y="753142"/>
          <a:ext cx="302732" cy="302732"/>
        </a:xfrm>
        <a:prstGeom prst="rect">
          <a:avLst/>
        </a:prstGeom>
      </xdr:spPr>
    </xdr:pic>
    <xdr:clientData/>
  </xdr:twoCellAnchor>
  <xdr:twoCellAnchor editAs="oneCell">
    <xdr:from>
      <xdr:col>9</xdr:col>
      <xdr:colOff>709546</xdr:colOff>
      <xdr:row>4</xdr:row>
      <xdr:rowOff>95588</xdr:rowOff>
    </xdr:from>
    <xdr:to>
      <xdr:col>10</xdr:col>
      <xdr:colOff>188605</xdr:colOff>
      <xdr:row>6</xdr:row>
      <xdr:rowOff>43902</xdr:rowOff>
    </xdr:to>
    <xdr:pic>
      <xdr:nvPicPr>
        <xdr:cNvPr id="32" name="图形 31" descr="下箭头 纯色填充">
          <a:extLst>
            <a:ext uri="{FF2B5EF4-FFF2-40B4-BE49-F238E27FC236}">
              <a16:creationId xmlns:a16="http://schemas.microsoft.com/office/drawing/2014/main" id="{F1C0E31E-E408-DE6E-7FB6-9FFD5BAF2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122613" y="809709"/>
          <a:ext cx="302733" cy="305375"/>
        </a:xfrm>
        <a:prstGeom prst="rect">
          <a:avLst/>
        </a:prstGeom>
      </xdr:spPr>
    </xdr:pic>
    <xdr:clientData/>
  </xdr:twoCellAnchor>
  <xdr:twoCellAnchor editAs="oneCell">
    <xdr:from>
      <xdr:col>1</xdr:col>
      <xdr:colOff>745757</xdr:colOff>
      <xdr:row>4</xdr:row>
      <xdr:rowOff>110757</xdr:rowOff>
    </xdr:from>
    <xdr:to>
      <xdr:col>2</xdr:col>
      <xdr:colOff>177211</xdr:colOff>
      <xdr:row>6</xdr:row>
      <xdr:rowOff>14768</xdr:rowOff>
    </xdr:to>
    <xdr:pic>
      <xdr:nvPicPr>
        <xdr:cNvPr id="38" name="图形 37" descr="美元 纯色填充">
          <a:extLst>
            <a:ext uri="{FF2B5EF4-FFF2-40B4-BE49-F238E27FC236}">
              <a16:creationId xmlns:a16="http://schemas.microsoft.com/office/drawing/2014/main" id="{5E5B7E62-8110-10EE-B279-B1B94DF7B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572734" y="819594"/>
          <a:ext cx="258430" cy="258430"/>
        </a:xfrm>
        <a:prstGeom prst="rect">
          <a:avLst/>
        </a:prstGeom>
      </xdr:spPr>
    </xdr:pic>
    <xdr:clientData/>
  </xdr:twoCellAnchor>
  <xdr:twoCellAnchor>
    <xdr:from>
      <xdr:col>7</xdr:col>
      <xdr:colOff>779515</xdr:colOff>
      <xdr:row>5</xdr:row>
      <xdr:rowOff>15969</xdr:rowOff>
    </xdr:from>
    <xdr:to>
      <xdr:col>8</xdr:col>
      <xdr:colOff>310259</xdr:colOff>
      <xdr:row>5</xdr:row>
      <xdr:rowOff>150197</xdr:rowOff>
    </xdr:to>
    <xdr:sp macro="" textlink="">
      <xdr:nvSpPr>
        <xdr:cNvPr id="39" name="减 38">
          <a:extLst>
            <a:ext uri="{FF2B5EF4-FFF2-40B4-BE49-F238E27FC236}">
              <a16:creationId xmlns:a16="http://schemas.microsoft.com/office/drawing/2014/main" id="{EE877A39-8DEA-6A67-C211-5227791B2E3C}"/>
            </a:ext>
          </a:extLst>
        </xdr:cNvPr>
        <xdr:cNvSpPr/>
      </xdr:nvSpPr>
      <xdr:spPr>
        <a:xfrm>
          <a:off x="6545234" y="908621"/>
          <a:ext cx="354418" cy="134228"/>
        </a:xfrm>
        <a:prstGeom prst="mathMinus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324883</xdr:colOff>
      <xdr:row>3</xdr:row>
      <xdr:rowOff>132907</xdr:rowOff>
    </xdr:from>
    <xdr:to>
      <xdr:col>5</xdr:col>
      <xdr:colOff>620232</xdr:colOff>
      <xdr:row>4</xdr:row>
      <xdr:rowOff>140291</xdr:rowOff>
    </xdr:to>
    <xdr:sp macro="" textlink="">
      <xdr:nvSpPr>
        <xdr:cNvPr id="41" name="文本框 40">
          <a:extLst>
            <a:ext uri="{FF2B5EF4-FFF2-40B4-BE49-F238E27FC236}">
              <a16:creationId xmlns:a16="http://schemas.microsoft.com/office/drawing/2014/main" id="{D2C98ED7-7528-BA14-A599-DD40544152CA}"/>
            </a:ext>
          </a:extLst>
        </xdr:cNvPr>
        <xdr:cNvSpPr txBox="1"/>
      </xdr:nvSpPr>
      <xdr:spPr>
        <a:xfrm>
          <a:off x="3632790" y="664535"/>
          <a:ext cx="1122326" cy="184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Regional</a:t>
          </a:r>
          <a:r>
            <a:rPr lang="zh-CN" altLang="en-US" sz="1000" b="0" cap="none" spc="0">
              <a:ln w="0"/>
              <a:solidFill>
                <a:schemeClr val="tx2"/>
              </a:solidFill>
              <a:effectLst/>
              <a:latin typeface="+mn-lt"/>
            </a:rPr>
            <a:t> </a:t>
          </a:r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Revenue</a:t>
          </a:r>
          <a:endParaRPr lang="zh-CN" altLang="en-US" sz="1000" b="0" cap="none" spc="0">
            <a:ln w="0"/>
            <a:solidFill>
              <a:schemeClr val="tx2"/>
            </a:solidFill>
            <a:effectLst/>
            <a:latin typeface="+mn-lt"/>
          </a:endParaRPr>
        </a:p>
      </xdr:txBody>
    </xdr:sp>
    <xdr:clientData/>
  </xdr:twoCellAnchor>
  <xdr:twoCellAnchor>
    <xdr:from>
      <xdr:col>6</xdr:col>
      <xdr:colOff>379038</xdr:colOff>
      <xdr:row>3</xdr:row>
      <xdr:rowOff>134766</xdr:rowOff>
    </xdr:from>
    <xdr:to>
      <xdr:col>7</xdr:col>
      <xdr:colOff>635000</xdr:colOff>
      <xdr:row>4</xdr:row>
      <xdr:rowOff>142150</xdr:rowOff>
    </xdr:to>
    <xdr:sp macro="" textlink="">
      <xdr:nvSpPr>
        <xdr:cNvPr id="42" name="文本框 41">
          <a:extLst>
            <a:ext uri="{FF2B5EF4-FFF2-40B4-BE49-F238E27FC236}">
              <a16:creationId xmlns:a16="http://schemas.microsoft.com/office/drawing/2014/main" id="{5D01BFE8-75AA-D94C-96AD-64F132459F2E}"/>
            </a:ext>
          </a:extLst>
        </xdr:cNvPr>
        <xdr:cNvSpPr txBox="1"/>
      </xdr:nvSpPr>
      <xdr:spPr>
        <a:xfrm>
          <a:off x="5340898" y="666394"/>
          <a:ext cx="1082939" cy="1845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Highest</a:t>
          </a:r>
          <a:r>
            <a:rPr lang="zh-CN" altLang="en-US" sz="1000" b="0" cap="none" spc="0">
              <a:ln w="0"/>
              <a:solidFill>
                <a:schemeClr val="tx2"/>
              </a:solidFill>
              <a:effectLst/>
              <a:latin typeface="+mn-lt"/>
            </a:rPr>
            <a:t> </a:t>
          </a:r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Revenue</a:t>
          </a:r>
          <a:endParaRPr lang="zh-CN" altLang="en-US" sz="1000" b="0" cap="none" spc="0">
            <a:ln w="0"/>
            <a:solidFill>
              <a:schemeClr val="tx2"/>
            </a:solidFill>
            <a:effectLst/>
            <a:latin typeface="+mn-lt"/>
          </a:endParaRPr>
        </a:p>
      </xdr:txBody>
    </xdr:sp>
    <xdr:clientData/>
  </xdr:twoCellAnchor>
  <xdr:twoCellAnchor>
    <xdr:from>
      <xdr:col>8</xdr:col>
      <xdr:colOff>265638</xdr:colOff>
      <xdr:row>3</xdr:row>
      <xdr:rowOff>98720</xdr:rowOff>
    </xdr:from>
    <xdr:to>
      <xdr:col>9</xdr:col>
      <xdr:colOff>528113</xdr:colOff>
      <xdr:row>4</xdr:row>
      <xdr:rowOff>106104</xdr:rowOff>
    </xdr:to>
    <xdr:sp macro="" textlink="">
      <xdr:nvSpPr>
        <xdr:cNvPr id="43" name="文本框 42">
          <a:extLst>
            <a:ext uri="{FF2B5EF4-FFF2-40B4-BE49-F238E27FC236}">
              <a16:creationId xmlns:a16="http://schemas.microsoft.com/office/drawing/2014/main" id="{EF52DBCD-9181-CA4B-A667-68F3253487AD}"/>
            </a:ext>
          </a:extLst>
        </xdr:cNvPr>
        <xdr:cNvSpPr txBox="1"/>
      </xdr:nvSpPr>
      <xdr:spPr>
        <a:xfrm>
          <a:off x="6855031" y="634311"/>
          <a:ext cx="1086149" cy="185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Average</a:t>
          </a:r>
          <a:r>
            <a:rPr lang="zh-CN" altLang="en-US" sz="1000" b="0" cap="none" spc="0">
              <a:ln w="0"/>
              <a:solidFill>
                <a:schemeClr val="tx2"/>
              </a:solidFill>
              <a:effectLst/>
              <a:latin typeface="+mn-lt"/>
            </a:rPr>
            <a:t> </a:t>
          </a:r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Revenue</a:t>
          </a:r>
          <a:endParaRPr lang="zh-CN" altLang="en-US" sz="1000" b="0" cap="none" spc="0">
            <a:ln w="0"/>
            <a:solidFill>
              <a:schemeClr val="tx2"/>
            </a:solidFill>
            <a:effectLst/>
            <a:latin typeface="+mn-lt"/>
          </a:endParaRPr>
        </a:p>
      </xdr:txBody>
    </xdr:sp>
    <xdr:clientData/>
  </xdr:twoCellAnchor>
  <xdr:twoCellAnchor>
    <xdr:from>
      <xdr:col>10</xdr:col>
      <xdr:colOff>227665</xdr:colOff>
      <xdr:row>3</xdr:row>
      <xdr:rowOff>116750</xdr:rowOff>
    </xdr:from>
    <xdr:to>
      <xdr:col>11</xdr:col>
      <xdr:colOff>441793</xdr:colOff>
      <xdr:row>4</xdr:row>
      <xdr:rowOff>124134</xdr:rowOff>
    </xdr:to>
    <xdr:sp macro="" textlink="">
      <xdr:nvSpPr>
        <xdr:cNvPr id="45" name="文本框 44">
          <a:extLst>
            <a:ext uri="{FF2B5EF4-FFF2-40B4-BE49-F238E27FC236}">
              <a16:creationId xmlns:a16="http://schemas.microsoft.com/office/drawing/2014/main" id="{21CBF1EA-F77C-688D-FFFB-E8180F54990C}"/>
            </a:ext>
          </a:extLst>
        </xdr:cNvPr>
        <xdr:cNvSpPr txBox="1"/>
      </xdr:nvSpPr>
      <xdr:spPr>
        <a:xfrm>
          <a:off x="8464406" y="652341"/>
          <a:ext cx="1037802" cy="18591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Lowest</a:t>
          </a:r>
          <a:r>
            <a:rPr lang="zh-CN" altLang="en-US" sz="1000" b="0" cap="none" spc="0">
              <a:ln w="0"/>
              <a:solidFill>
                <a:schemeClr val="tx2"/>
              </a:solidFill>
              <a:effectLst/>
              <a:latin typeface="+mn-lt"/>
            </a:rPr>
            <a:t> </a:t>
          </a:r>
          <a:r>
            <a:rPr lang="en-US" altLang="zh-CN" sz="1000" b="0" cap="none" spc="0">
              <a:ln w="0"/>
              <a:solidFill>
                <a:schemeClr val="tx2"/>
              </a:solidFill>
              <a:effectLst/>
              <a:latin typeface="+mn-lt"/>
            </a:rPr>
            <a:t>Revenue</a:t>
          </a:r>
          <a:endParaRPr lang="zh-CN" altLang="en-US" sz="1000" b="0" cap="none" spc="0">
            <a:ln w="0"/>
            <a:solidFill>
              <a:schemeClr val="tx2"/>
            </a:solidFill>
            <a:effectLst/>
            <a:latin typeface="+mn-lt"/>
          </a:endParaRPr>
        </a:p>
      </xdr:txBody>
    </xdr:sp>
    <xdr:clientData/>
  </xdr:twoCellAnchor>
  <xdr:twoCellAnchor>
    <xdr:from>
      <xdr:col>2</xdr:col>
      <xdr:colOff>302733</xdr:colOff>
      <xdr:row>6</xdr:row>
      <xdr:rowOff>88605</xdr:rowOff>
    </xdr:from>
    <xdr:to>
      <xdr:col>3</xdr:col>
      <xdr:colOff>29535</xdr:colOff>
      <xdr:row>7</xdr:row>
      <xdr:rowOff>103372</xdr:rowOff>
    </xdr:to>
    <xdr:sp macro="" textlink="">
      <xdr:nvSpPr>
        <xdr:cNvPr id="46" name="文本框 45">
          <a:extLst>
            <a:ext uri="{FF2B5EF4-FFF2-40B4-BE49-F238E27FC236}">
              <a16:creationId xmlns:a16="http://schemas.microsoft.com/office/drawing/2014/main" id="{B4715F61-645C-359D-8834-BEA750773E94}"/>
            </a:ext>
          </a:extLst>
        </xdr:cNvPr>
        <xdr:cNvSpPr txBox="1"/>
      </xdr:nvSpPr>
      <xdr:spPr>
        <a:xfrm>
          <a:off x="1956686" y="1151861"/>
          <a:ext cx="553779" cy="19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solidFill>
                <a:schemeClr val="bg1">
                  <a:lumMod val="50000"/>
                </a:schemeClr>
              </a:solidFill>
            </a:rPr>
            <a:t>Total</a:t>
          </a:r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402649</xdr:colOff>
      <xdr:row>6</xdr:row>
      <xdr:rowOff>85063</xdr:rowOff>
    </xdr:from>
    <xdr:to>
      <xdr:col>7</xdr:col>
      <xdr:colOff>129451</xdr:colOff>
      <xdr:row>7</xdr:row>
      <xdr:rowOff>99830</xdr:rowOff>
    </xdr:to>
    <xdr:sp macro="" textlink="">
      <xdr:nvSpPr>
        <xdr:cNvPr id="47" name="文本框 46">
          <a:extLst>
            <a:ext uri="{FF2B5EF4-FFF2-40B4-BE49-F238E27FC236}">
              <a16:creationId xmlns:a16="http://schemas.microsoft.com/office/drawing/2014/main" id="{AD4B8D08-0528-E94B-9EE5-F1013FBBBF6B}"/>
            </a:ext>
          </a:extLst>
        </xdr:cNvPr>
        <xdr:cNvSpPr txBox="1"/>
      </xdr:nvSpPr>
      <xdr:spPr>
        <a:xfrm>
          <a:off x="5364509" y="1148319"/>
          <a:ext cx="553779" cy="19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solidFill>
                <a:schemeClr val="bg1">
                  <a:lumMod val="50000"/>
                </a:schemeClr>
              </a:solidFill>
            </a:rPr>
            <a:t>Max</a:t>
          </a:r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326153</xdr:colOff>
      <xdr:row>6</xdr:row>
      <xdr:rowOff>67637</xdr:rowOff>
    </xdr:from>
    <xdr:to>
      <xdr:col>5</xdr:col>
      <xdr:colOff>52955</xdr:colOff>
      <xdr:row>7</xdr:row>
      <xdr:rowOff>82404</xdr:rowOff>
    </xdr:to>
    <xdr:sp macro="" textlink="">
      <xdr:nvSpPr>
        <xdr:cNvPr id="48" name="文本框 47">
          <a:extLst>
            <a:ext uri="{FF2B5EF4-FFF2-40B4-BE49-F238E27FC236}">
              <a16:creationId xmlns:a16="http://schemas.microsoft.com/office/drawing/2014/main" id="{1AB2C07A-516A-DD4F-8063-4B77A13F333E}"/>
            </a:ext>
          </a:extLst>
        </xdr:cNvPr>
        <xdr:cNvSpPr txBox="1"/>
      </xdr:nvSpPr>
      <xdr:spPr>
        <a:xfrm>
          <a:off x="3634060" y="1130893"/>
          <a:ext cx="553779" cy="19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solidFill>
                <a:schemeClr val="bg1">
                  <a:lumMod val="50000"/>
                </a:schemeClr>
              </a:solidFill>
            </a:rPr>
            <a:t>Total</a:t>
          </a:r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8</xdr:col>
      <xdr:colOff>493320</xdr:colOff>
      <xdr:row>6</xdr:row>
      <xdr:rowOff>72363</xdr:rowOff>
    </xdr:from>
    <xdr:to>
      <xdr:col>9</xdr:col>
      <xdr:colOff>339651</xdr:colOff>
      <xdr:row>7</xdr:row>
      <xdr:rowOff>87130</xdr:rowOff>
    </xdr:to>
    <xdr:sp macro="" textlink="">
      <xdr:nvSpPr>
        <xdr:cNvPr id="49" name="文本框 48">
          <a:extLst>
            <a:ext uri="{FF2B5EF4-FFF2-40B4-BE49-F238E27FC236}">
              <a16:creationId xmlns:a16="http://schemas.microsoft.com/office/drawing/2014/main" id="{8EF51241-3390-8742-B76A-7993973E4FA3}"/>
            </a:ext>
          </a:extLst>
        </xdr:cNvPr>
        <xdr:cNvSpPr txBox="1"/>
      </xdr:nvSpPr>
      <xdr:spPr>
        <a:xfrm>
          <a:off x="7109134" y="1135619"/>
          <a:ext cx="673308" cy="1919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solidFill>
                <a:schemeClr val="bg1">
                  <a:lumMod val="50000"/>
                </a:schemeClr>
              </a:solidFill>
            </a:rPr>
            <a:t>Average</a:t>
          </a:r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10</xdr:col>
      <xdr:colOff>257993</xdr:colOff>
      <xdr:row>6</xdr:row>
      <xdr:rowOff>83415</xdr:rowOff>
    </xdr:from>
    <xdr:to>
      <xdr:col>10</xdr:col>
      <xdr:colOff>808469</xdr:colOff>
      <xdr:row>7</xdr:row>
      <xdr:rowOff>101433</xdr:rowOff>
    </xdr:to>
    <xdr:sp macro="" textlink="">
      <xdr:nvSpPr>
        <xdr:cNvPr id="50" name="文本框 49">
          <a:extLst>
            <a:ext uri="{FF2B5EF4-FFF2-40B4-BE49-F238E27FC236}">
              <a16:creationId xmlns:a16="http://schemas.microsoft.com/office/drawing/2014/main" id="{C8747FFA-39CB-634F-B2F0-8B5607D3AD7F}"/>
            </a:ext>
          </a:extLst>
        </xdr:cNvPr>
        <xdr:cNvSpPr txBox="1"/>
      </xdr:nvSpPr>
      <xdr:spPr>
        <a:xfrm>
          <a:off x="8494734" y="1154597"/>
          <a:ext cx="550476" cy="196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050">
              <a:solidFill>
                <a:schemeClr val="bg1">
                  <a:lumMod val="50000"/>
                </a:schemeClr>
              </a:solidFill>
            </a:rPr>
            <a:t>Min</a:t>
          </a:r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2</xdr:col>
      <xdr:colOff>273198</xdr:colOff>
      <xdr:row>4</xdr:row>
      <xdr:rowOff>155058</xdr:rowOff>
    </xdr:from>
    <xdr:to>
      <xdr:col>3</xdr:col>
      <xdr:colOff>428527</xdr:colOff>
      <xdr:row>6</xdr:row>
      <xdr:rowOff>51686</xdr:rowOff>
    </xdr:to>
    <xdr:sp macro="" textlink="Pivot_calculations.xlsx!B4">
      <xdr:nvSpPr>
        <xdr:cNvPr id="51" name="文本框 50">
          <a:extLst>
            <a:ext uri="{FF2B5EF4-FFF2-40B4-BE49-F238E27FC236}">
              <a16:creationId xmlns:a16="http://schemas.microsoft.com/office/drawing/2014/main" id="{A068D801-D709-138A-F691-C7DA9BBA6048}"/>
            </a:ext>
          </a:extLst>
        </xdr:cNvPr>
        <xdr:cNvSpPr txBox="1"/>
      </xdr:nvSpPr>
      <xdr:spPr>
        <a:xfrm>
          <a:off x="1924977" y="871868"/>
          <a:ext cx="981219" cy="25503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1440" rtlCol="0" anchor="t"/>
        <a:lstStyle/>
        <a:p>
          <a:fld id="{6AD2F138-AB33-B944-8D37-C74320803766}" type="TxLink">
            <a:rPr lang="en-US" altLang="en-US" sz="1600" b="1" i="0" u="none" strike="noStrike" cap="none" spc="0">
              <a:ln w="0">
                <a:noFill/>
              </a:ln>
              <a:solidFill>
                <a:schemeClr val="tx1"/>
              </a:solidFill>
              <a:effectLst/>
              <a:latin typeface="Helvetica" pitchFamily="2" charset="0"/>
              <a:ea typeface="宋体"/>
            </a:rPr>
            <a:t>31,792 </a:t>
          </a:fld>
          <a:endParaRPr lang="en-US" altLang="en-US" sz="1600" b="1" cap="none" spc="0">
            <a:ln w="0">
              <a:noFill/>
            </a:ln>
            <a:solidFill>
              <a:schemeClr val="tx1"/>
            </a:solidFill>
            <a:effectLst/>
            <a:latin typeface="Helvetica" pitchFamily="2" charset="0"/>
          </a:endParaRPr>
        </a:p>
      </xdr:txBody>
    </xdr:sp>
    <xdr:clientData/>
  </xdr:twoCellAnchor>
  <xdr:twoCellAnchor editAs="oneCell">
    <xdr:from>
      <xdr:col>0</xdr:col>
      <xdr:colOff>247997</xdr:colOff>
      <xdr:row>13</xdr:row>
      <xdr:rowOff>50415</xdr:rowOff>
    </xdr:from>
    <xdr:to>
      <xdr:col>1</xdr:col>
      <xdr:colOff>426860</xdr:colOff>
      <xdr:row>20</xdr:row>
      <xdr:rowOff>131501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3" name="Region">
              <a:extLst>
                <a:ext uri="{FF2B5EF4-FFF2-40B4-BE49-F238E27FC236}">
                  <a16:creationId xmlns:a16="http://schemas.microsoft.com/office/drawing/2014/main" id="{944287CD-8068-E34E-8378-84D0F8F93E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997" y="2380047"/>
              <a:ext cx="1004753" cy="133550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此形状代表切片器。Excel 2010 或更高版本支持切片器。
如果形状是在较早版本的 Excel 中修改，或者工作簿是在 Excel 2003 或更早版本中保存，则无法使用切片器。</a:t>
              </a:r>
            </a:p>
          </xdr:txBody>
        </xdr:sp>
      </mc:Fallback>
    </mc:AlternateContent>
    <xdr:clientData/>
  </xdr:twoCellAnchor>
  <xdr:twoCellAnchor>
    <xdr:from>
      <xdr:col>4</xdr:col>
      <xdr:colOff>435640</xdr:colOff>
      <xdr:row>5</xdr:row>
      <xdr:rowOff>22151</xdr:rowOff>
    </xdr:from>
    <xdr:to>
      <xdr:col>5</xdr:col>
      <xdr:colOff>487325</xdr:colOff>
      <xdr:row>6</xdr:row>
      <xdr:rowOff>73837</xdr:rowOff>
    </xdr:to>
    <xdr:sp macro="" textlink="Pivot_calculations.xlsx!E4">
      <xdr:nvSpPr>
        <xdr:cNvPr id="54" name="文本框 53">
          <a:extLst>
            <a:ext uri="{FF2B5EF4-FFF2-40B4-BE49-F238E27FC236}">
              <a16:creationId xmlns:a16="http://schemas.microsoft.com/office/drawing/2014/main" id="{10B9AC87-01CB-B2A7-FF42-856DF8CCACCD}"/>
            </a:ext>
          </a:extLst>
        </xdr:cNvPr>
        <xdr:cNvSpPr txBox="1"/>
      </xdr:nvSpPr>
      <xdr:spPr>
        <a:xfrm>
          <a:off x="3743547" y="908198"/>
          <a:ext cx="878662" cy="22889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2E88E180-3ACB-5544-997F-E35A82F20653}" type="TxLink">
            <a:rPr lang="en-US" altLang="en-US" sz="1600" b="1" i="0" u="none" strike="noStrike">
              <a:solidFill>
                <a:srgbClr val="000000"/>
              </a:solidFill>
              <a:latin typeface="Helvetica" pitchFamily="2" charset="0"/>
              <a:ea typeface="宋体"/>
            </a:rPr>
            <a:t>4,408 </a:t>
          </a:fld>
          <a:endParaRPr lang="zh-CN" altLang="en-US" sz="1600" b="1">
            <a:latin typeface="Helvetica" pitchFamily="2" charset="0"/>
          </a:endParaRPr>
        </a:p>
      </xdr:txBody>
    </xdr:sp>
    <xdr:clientData/>
  </xdr:twoCellAnchor>
  <xdr:twoCellAnchor>
    <xdr:from>
      <xdr:col>6</xdr:col>
      <xdr:colOff>428991</xdr:colOff>
      <xdr:row>5</xdr:row>
      <xdr:rowOff>28799</xdr:rowOff>
    </xdr:from>
    <xdr:to>
      <xdr:col>7</xdr:col>
      <xdr:colOff>470871</xdr:colOff>
      <xdr:row>6</xdr:row>
      <xdr:rowOff>128568</xdr:rowOff>
    </xdr:to>
    <xdr:sp macro="" textlink="Pivot_calculations.xlsx!K4">
      <xdr:nvSpPr>
        <xdr:cNvPr id="55" name="文本框 54">
          <a:extLst>
            <a:ext uri="{FF2B5EF4-FFF2-40B4-BE49-F238E27FC236}">
              <a16:creationId xmlns:a16="http://schemas.microsoft.com/office/drawing/2014/main" id="{D15B404E-9160-8588-2B38-384FD7E41876}"/>
            </a:ext>
          </a:extLst>
        </xdr:cNvPr>
        <xdr:cNvSpPr txBox="1"/>
      </xdr:nvSpPr>
      <xdr:spPr>
        <a:xfrm>
          <a:off x="5376007" y="926443"/>
          <a:ext cx="866382" cy="27929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992E5E16-4F42-0545-B791-E3A022755F7D}" type="TxLink">
            <a:rPr lang="en-US" altLang="en-US" sz="1600" b="1" i="0" u="none" strike="noStrike">
              <a:solidFill>
                <a:srgbClr val="000000"/>
              </a:solidFill>
              <a:latin typeface="Helvetica" pitchFamily="2" charset="0"/>
              <a:ea typeface="宋体"/>
            </a:rPr>
            <a:t>1,037 </a:t>
          </a:fld>
          <a:endParaRPr lang="zh-CN" altLang="en-US" sz="1600" b="1">
            <a:latin typeface="Helvetica" pitchFamily="2" charset="0"/>
          </a:endParaRPr>
        </a:p>
      </xdr:txBody>
    </xdr:sp>
    <xdr:clientData/>
  </xdr:twoCellAnchor>
  <xdr:twoCellAnchor>
    <xdr:from>
      <xdr:col>8</xdr:col>
      <xdr:colOff>405570</xdr:colOff>
      <xdr:row>4</xdr:row>
      <xdr:rowOff>158977</xdr:rowOff>
    </xdr:from>
    <xdr:to>
      <xdr:col>9</xdr:col>
      <xdr:colOff>412953</xdr:colOff>
      <xdr:row>6</xdr:row>
      <xdr:rowOff>39516</xdr:rowOff>
    </xdr:to>
    <xdr:sp macro="" textlink="Pivot_calculations.xlsx!K6">
      <xdr:nvSpPr>
        <xdr:cNvPr id="56" name="文本框 55">
          <a:extLst>
            <a:ext uri="{FF2B5EF4-FFF2-40B4-BE49-F238E27FC236}">
              <a16:creationId xmlns:a16="http://schemas.microsoft.com/office/drawing/2014/main" id="{7C635CB2-270F-434C-DB68-146DE1DC52B1}"/>
            </a:ext>
          </a:extLst>
        </xdr:cNvPr>
        <xdr:cNvSpPr txBox="1"/>
      </xdr:nvSpPr>
      <xdr:spPr>
        <a:xfrm>
          <a:off x="7001591" y="877092"/>
          <a:ext cx="831886" cy="23959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4BB35C3-E3C0-3B47-A95A-7CDD2FA64AF5}" type="TxLink">
            <a:rPr lang="en-US" altLang="en-US" sz="1600" b="1" i="0" u="none" strike="noStrike">
              <a:solidFill>
                <a:srgbClr val="000000"/>
              </a:solidFill>
              <a:latin typeface="Helvetica" pitchFamily="2" charset="0"/>
              <a:ea typeface="宋体"/>
            </a:rPr>
            <a:t>551 </a:t>
          </a:fld>
          <a:endParaRPr lang="zh-CN" altLang="en-US" sz="1600" b="1">
            <a:latin typeface="Helvetica" pitchFamily="2" charset="0"/>
          </a:endParaRPr>
        </a:p>
      </xdr:txBody>
    </xdr:sp>
    <xdr:clientData/>
  </xdr:twoCellAnchor>
  <xdr:twoCellAnchor>
    <xdr:from>
      <xdr:col>10</xdr:col>
      <xdr:colOff>334865</xdr:colOff>
      <xdr:row>5</xdr:row>
      <xdr:rowOff>401</xdr:rowOff>
    </xdr:from>
    <xdr:to>
      <xdr:col>11</xdr:col>
      <xdr:colOff>305330</xdr:colOff>
      <xdr:row>6</xdr:row>
      <xdr:rowOff>37320</xdr:rowOff>
    </xdr:to>
    <xdr:sp macro="" textlink="Pivot_calculations.xlsx!K5">
      <xdr:nvSpPr>
        <xdr:cNvPr id="57" name="文本框 56">
          <a:extLst>
            <a:ext uri="{FF2B5EF4-FFF2-40B4-BE49-F238E27FC236}">
              <a16:creationId xmlns:a16="http://schemas.microsoft.com/office/drawing/2014/main" id="{B1DFE16C-BB9E-1AEB-CC89-0914D87B6F46}"/>
            </a:ext>
          </a:extLst>
        </xdr:cNvPr>
        <xdr:cNvSpPr txBox="1"/>
      </xdr:nvSpPr>
      <xdr:spPr>
        <a:xfrm>
          <a:off x="8579891" y="898045"/>
          <a:ext cx="794968" cy="21644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FA3DEB7E-2E2B-524A-AE78-29C96EC68B7F}" type="TxLink">
            <a:rPr lang="en-US" altLang="en-US" sz="1600" b="1" i="0" u="none" strike="noStrike">
              <a:solidFill>
                <a:srgbClr val="000000"/>
              </a:solidFill>
              <a:latin typeface="Helvetica" pitchFamily="2" charset="0"/>
              <a:ea typeface="宋体"/>
            </a:rPr>
            <a:t>126 </a:t>
          </a:fld>
          <a:endParaRPr lang="zh-CN" altLang="en-US" sz="1600" b="1">
            <a:latin typeface="Helvetica" pitchFamily="2" charset="0"/>
          </a:endParaRPr>
        </a:p>
      </xdr:txBody>
    </xdr:sp>
    <xdr:clientData/>
  </xdr:twoCellAnchor>
  <xdr:twoCellAnchor>
    <xdr:from>
      <xdr:col>1</xdr:col>
      <xdr:colOff>656525</xdr:colOff>
      <xdr:row>8</xdr:row>
      <xdr:rowOff>87752</xdr:rowOff>
    </xdr:from>
    <xdr:to>
      <xdr:col>11</xdr:col>
      <xdr:colOff>398220</xdr:colOff>
      <xdr:row>21</xdr:row>
      <xdr:rowOff>81280</xdr:rowOff>
    </xdr:to>
    <xdr:graphicFrame macro="">
      <xdr:nvGraphicFramePr>
        <xdr:cNvPr id="58" name="图表 57">
          <a:extLst>
            <a:ext uri="{FF2B5EF4-FFF2-40B4-BE49-F238E27FC236}">
              <a16:creationId xmlns:a16="http://schemas.microsoft.com/office/drawing/2014/main" id="{E4770B8D-2685-EF47-B952-8473F9E26C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213360</xdr:colOff>
      <xdr:row>21</xdr:row>
      <xdr:rowOff>170167</xdr:rowOff>
    </xdr:from>
    <xdr:to>
      <xdr:col>2</xdr:col>
      <xdr:colOff>802640</xdr:colOff>
      <xdr:row>33</xdr:row>
      <xdr:rowOff>132080</xdr:rowOff>
    </xdr:to>
    <xdr:graphicFrame macro="">
      <xdr:nvGraphicFramePr>
        <xdr:cNvPr id="59" name="图表 58">
          <a:extLst>
            <a:ext uri="{FF2B5EF4-FFF2-40B4-BE49-F238E27FC236}">
              <a16:creationId xmlns:a16="http://schemas.microsoft.com/office/drawing/2014/main" id="{40014276-5226-DC4E-8D8C-CF2F63A188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203200</xdr:colOff>
      <xdr:row>21</xdr:row>
      <xdr:rowOff>172720</xdr:rowOff>
    </xdr:from>
    <xdr:to>
      <xdr:col>8</xdr:col>
      <xdr:colOff>342822</xdr:colOff>
      <xdr:row>33</xdr:row>
      <xdr:rowOff>116871</xdr:rowOff>
    </xdr:to>
    <xdr:graphicFrame macro="">
      <xdr:nvGraphicFramePr>
        <xdr:cNvPr id="60" name="图表 59">
          <a:extLst>
            <a:ext uri="{FF2B5EF4-FFF2-40B4-BE49-F238E27FC236}">
              <a16:creationId xmlns:a16="http://schemas.microsoft.com/office/drawing/2014/main" id="{7D6B5CD8-31C5-E04D-9609-EBAAAD152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565664</xdr:colOff>
      <xdr:row>21</xdr:row>
      <xdr:rowOff>163705</xdr:rowOff>
    </xdr:from>
    <xdr:to>
      <xdr:col>11</xdr:col>
      <xdr:colOff>402391</xdr:colOff>
      <xdr:row>33</xdr:row>
      <xdr:rowOff>138262</xdr:rowOff>
    </xdr:to>
    <xdr:graphicFrame macro="">
      <xdr:nvGraphicFramePr>
        <xdr:cNvPr id="61" name="图表 60">
          <a:extLst>
            <a:ext uri="{FF2B5EF4-FFF2-40B4-BE49-F238E27FC236}">
              <a16:creationId xmlns:a16="http://schemas.microsoft.com/office/drawing/2014/main" id="{2E610E8F-110C-8C47-A1FD-E0CC282A66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249326</xdr:colOff>
      <xdr:row>11</xdr:row>
      <xdr:rowOff>140246</xdr:rowOff>
    </xdr:from>
    <xdr:to>
      <xdr:col>1</xdr:col>
      <xdr:colOff>436319</xdr:colOff>
      <xdr:row>13</xdr:row>
      <xdr:rowOff>116872</xdr:rowOff>
    </xdr:to>
    <xdr:sp macro="" textlink="">
      <xdr:nvSpPr>
        <xdr:cNvPr id="63" name="圆角矩形 62">
          <a:extLst>
            <a:ext uri="{FF2B5EF4-FFF2-40B4-BE49-F238E27FC236}">
              <a16:creationId xmlns:a16="http://schemas.microsoft.com/office/drawing/2014/main" id="{55CA5181-B12C-0545-FC1C-93B9D29B7BC1}"/>
            </a:ext>
          </a:extLst>
        </xdr:cNvPr>
        <xdr:cNvSpPr/>
      </xdr:nvSpPr>
      <xdr:spPr>
        <a:xfrm>
          <a:off x="249326" y="2111473"/>
          <a:ext cx="1012883" cy="335031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303865</xdr:colOff>
      <xdr:row>11</xdr:row>
      <xdr:rowOff>163620</xdr:rowOff>
    </xdr:from>
    <xdr:to>
      <xdr:col>1</xdr:col>
      <xdr:colOff>303864</xdr:colOff>
      <xdr:row>13</xdr:row>
      <xdr:rowOff>70123</xdr:rowOff>
    </xdr:to>
    <xdr:sp macro="" textlink="">
      <xdr:nvSpPr>
        <xdr:cNvPr id="64" name="文本框 63">
          <a:extLst>
            <a:ext uri="{FF2B5EF4-FFF2-40B4-BE49-F238E27FC236}">
              <a16:creationId xmlns:a16="http://schemas.microsoft.com/office/drawing/2014/main" id="{0F6D2186-4FA6-1C3E-4B7C-D7299F5B3FFD}"/>
            </a:ext>
          </a:extLst>
        </xdr:cNvPr>
        <xdr:cNvSpPr txBox="1"/>
      </xdr:nvSpPr>
      <xdr:spPr>
        <a:xfrm>
          <a:off x="303865" y="2134847"/>
          <a:ext cx="825889" cy="2649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zh-CN" sz="1100" b="1">
              <a:solidFill>
                <a:schemeClr val="tx2"/>
              </a:solidFill>
            </a:rPr>
            <a:t>Region</a:t>
          </a:r>
          <a:endParaRPr lang="zh-CN" altLang="en-US" sz="1100" b="1">
            <a:solidFill>
              <a:schemeClr val="tx2"/>
            </a:solidFill>
          </a:endParaRPr>
        </a:p>
      </xdr:txBody>
    </xdr:sp>
    <xdr:clientData/>
  </xdr:twoCellAnchor>
  <xdr:twoCellAnchor>
    <xdr:from>
      <xdr:col>0</xdr:col>
      <xdr:colOff>247650</xdr:colOff>
      <xdr:row>2</xdr:row>
      <xdr:rowOff>171451</xdr:rowOff>
    </xdr:from>
    <xdr:to>
      <xdr:col>1</xdr:col>
      <xdr:colOff>419100</xdr:colOff>
      <xdr:row>20</xdr:row>
      <xdr:rowOff>86103</xdr:rowOff>
    </xdr:to>
    <xdr:sp macro="" textlink="">
      <xdr:nvSpPr>
        <xdr:cNvPr id="2" name="圆角矩形 1">
          <a:extLst>
            <a:ext uri="{FF2B5EF4-FFF2-40B4-BE49-F238E27FC236}">
              <a16:creationId xmlns:a16="http://schemas.microsoft.com/office/drawing/2014/main" id="{20D3A235-C0F9-9884-7093-69F6D62669A7}"/>
            </a:ext>
          </a:extLst>
        </xdr:cNvPr>
        <xdr:cNvSpPr/>
      </xdr:nvSpPr>
      <xdr:spPr>
        <a:xfrm>
          <a:off x="247650" y="537383"/>
          <a:ext cx="1000179" cy="3208042"/>
        </a:xfrm>
        <a:prstGeom prst="roundRect">
          <a:avLst>
            <a:gd name="adj" fmla="val 19895"/>
          </a:avLst>
        </a:prstGeom>
        <a:noFill/>
        <a:ln w="6350">
          <a:solidFill>
            <a:schemeClr val="bg1">
              <a:lumMod val="85000"/>
              <a:alpha val="77000"/>
            </a:schemeClr>
          </a:solidFill>
        </a:ln>
        <a:effectLst>
          <a:reflection blurRad="432582" stA="81000" endPos="65000" dist="174559" dir="5400000" sy="-100000" algn="bl" rotWithShape="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/>
            </a:solidFill>
          </a:endParaRPr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孙一策" refreshedDate="46154.813758912038" createdVersion="8" refreshedVersion="8" minRefreshableVersion="3" recordCount="400" xr:uid="{748681D1-DF9F-4141-9515-BCB82489B8E8}">
  <cacheSource type="worksheet">
    <worksheetSource name="SalesTable"/>
  </cacheSource>
  <cacheFields count="8">
    <cacheField name="Year" numFmtId="0">
      <sharedItems containsSemiMixedTypes="0" containsString="0" containsNumber="1" containsInteger="1" minValue="2019" maxValue="2023" count="5">
        <n v="2019"/>
        <n v="2023"/>
        <n v="2020"/>
        <n v="2021"/>
        <n v="2022"/>
      </sharedItems>
    </cacheField>
    <cacheField name="Month" numFmtId="0">
      <sharedItems containsSemiMixedTypes="0" containsString="0" containsNumber="1" containsInteger="1" minValue="1" maxValue="12" count="12">
        <n v="1"/>
        <n v="11"/>
        <n v="9"/>
        <n v="5"/>
        <n v="4"/>
        <n v="6"/>
        <n v="2"/>
        <n v="12"/>
        <n v="7"/>
        <n v="8"/>
        <n v="3"/>
        <n v="10"/>
      </sharedItems>
    </cacheField>
    <cacheField name="Region" numFmtId="0">
      <sharedItems count="6">
        <s v="Chongqing"/>
        <s v="Beijing"/>
        <s v="Shanghai"/>
        <s v="Shenzhen"/>
        <s v="Chengdu"/>
        <s v="Hangzhou"/>
      </sharedItems>
    </cacheField>
    <cacheField name="Customer" numFmtId="0">
      <sharedItems count="167">
        <s v="Henry Chen"/>
        <s v="Zoe Li"/>
        <s v="Lucas Chen"/>
        <s v="Zoe Huang"/>
        <s v="Sophia Huang"/>
        <s v="Olivia Li"/>
        <s v="Henry Wang"/>
        <s v="Noah Wu"/>
        <s v="Lucas Li"/>
        <s v="Mia Li"/>
        <s v="Sophia Yang"/>
        <s v="Noah Zhou"/>
        <s v="Sophia Zhao"/>
        <s v="Leo Wang"/>
        <s v="Noah Chen"/>
        <s v="Chloe Huang"/>
        <s v="Mia Wu"/>
        <s v="Jack Yang"/>
        <s v="Emma Li"/>
        <s v="Lily Li"/>
        <s v="Henry Wu"/>
        <s v="Henry Yang"/>
        <s v="Liam Liu"/>
        <s v="Ella Wu"/>
        <s v="Zoe Wu"/>
        <s v="Olivia Yang"/>
        <s v="Noah Li"/>
        <s v="James Zhao"/>
        <s v="Ava Chen"/>
        <s v="Ryan Chen"/>
        <s v="Emma Yang"/>
        <s v="Chloe Chen"/>
        <s v="Mia Zhao"/>
        <s v="Ava Yang"/>
        <s v="Olivia Wang"/>
        <s v="Henry Zhao"/>
        <s v="Emma Wu"/>
        <s v="Chloe Zhao"/>
        <s v="Liam Huang"/>
        <s v="Zoe Zhao"/>
        <s v="Ryan Wu"/>
        <s v="Ryan Zhao"/>
        <s v="Noah Zhang"/>
        <s v="Jack Li"/>
        <s v="Leo Liu"/>
        <s v="Jack Zhang"/>
        <s v="Noah Wang"/>
        <s v="Zoe Chen"/>
        <s v="Mia Yang"/>
        <s v="Ella Zhou"/>
        <s v="Ella Li"/>
        <s v="Zoe Zhang"/>
        <s v="Leo Chen"/>
        <s v="Liam Yang"/>
        <s v="Ethan Wu"/>
        <s v="James Huang"/>
        <s v="Grace Chen"/>
        <s v="Ava Zhou"/>
        <s v="Ava Wang"/>
        <s v="Mia Liu"/>
        <s v="Mia Wang"/>
        <s v="Noah Liu"/>
        <s v="Zoe Yang"/>
        <s v="Leo Huang"/>
        <s v="Lucas Liu"/>
        <s v="Lily Yang"/>
        <s v="Lucas Huang"/>
        <s v="Ella Huang"/>
        <s v="Ethan Chen"/>
        <s v="Emma Chen"/>
        <s v="Mia Zhang"/>
        <s v="Zoe Zhou"/>
        <s v="Daniel Huang"/>
        <s v="Ethan Liu"/>
        <s v="Leo Yang"/>
        <s v="Leo Wu"/>
        <s v="Jack Zhou"/>
        <s v="Chloe Wang"/>
        <s v="Ethan Zhang"/>
        <s v="Ryan Wang"/>
        <s v="Sophia Wang"/>
        <s v="James Chen"/>
        <s v="Olivia Zhang"/>
        <s v="Ryan Huang"/>
        <s v="Olivia Zhou"/>
        <s v="Grace Li"/>
        <s v="Chloe Li"/>
        <s v="Ava Zhang"/>
        <s v="Lily Huang"/>
        <s v="Lily Liu"/>
        <s v="Mia Huang"/>
        <s v="Daniel Yang"/>
        <s v="Lucas Yang"/>
        <s v="Daniel Zhou"/>
        <s v="Grace Zhang"/>
        <s v="Emma Wang"/>
        <s v="Leo Zhang"/>
        <s v="Jack Zhao"/>
        <s v="Ryan Liu"/>
        <s v="Lily Zhou"/>
        <s v="Emma Zhou"/>
        <s v="Henry Li"/>
        <s v="Ava Li"/>
        <s v="Jack Liu"/>
        <s v="Lily Wang"/>
        <s v="Liam Li"/>
        <s v="Henry Zhou"/>
        <s v="Noah Zhao"/>
        <s v="Jack Wu"/>
        <s v="Leo Li"/>
        <s v="Ethan Huang"/>
        <s v="Ella Zhao"/>
        <s v="Lily Chen"/>
        <s v="Ava Zhao"/>
        <s v="Jack Chen"/>
        <s v="Ethan Yang"/>
        <s v="Leo Zhou"/>
        <s v="Noah Huang"/>
        <s v="Ella Wang"/>
        <s v="Grace Huang"/>
        <s v="Sophia Zhang"/>
        <s v="Ava Liu"/>
        <s v="Olivia Chen"/>
        <s v="James Li"/>
        <s v="Daniel Wu"/>
        <s v="Grace Wang"/>
        <s v="Sophia Li"/>
        <s v="Mia Zhou"/>
        <s v="Grace Wu"/>
        <s v="Liam Wang"/>
        <s v="Lucas Zhang"/>
        <s v="Ava Wu"/>
        <s v="Liam Zhang"/>
        <s v="Ryan Zhou"/>
        <s v="Ethan Li"/>
        <s v="Lily Zhao"/>
        <s v="Ella Yang"/>
        <s v="Olivia Wu"/>
        <s v="Lily Zhang"/>
        <s v="Ethan Zhou"/>
        <s v="Daniel Zhang"/>
        <s v="Ethan Zhao"/>
        <s v="Grace Liu"/>
        <s v="Ethan Wang"/>
        <s v="James Liu"/>
        <s v="Olivia Liu"/>
        <s v="Zoe Wang"/>
        <s v="Chloe Zhang"/>
        <s v="Lucas Wang"/>
        <s v="Chloe Wu"/>
        <s v="Ella Zhang"/>
        <s v="James Zhou"/>
        <s v="James Yang"/>
        <s v="Zoe Liu"/>
        <s v="Sophia Zhou"/>
        <s v="Lucas Zhou"/>
        <s v="Mia Chen"/>
        <s v="Chloe Zhou"/>
        <s v="Olivia Huang"/>
        <s v="Emma Zhang"/>
        <s v="Ella Chen"/>
        <s v="Liam Wu"/>
        <s v="James Wu"/>
        <s v="Jack Huang"/>
        <s v="Henry Huang"/>
        <s v="Daniel Liu"/>
        <s v="Emma Huang"/>
      </sharedItems>
    </cacheField>
    <cacheField name="Product" numFmtId="0">
      <sharedItems count="6">
        <s v="Chicken"/>
        <s v="Biscuits"/>
        <s v="Cookies"/>
        <s v="Bread"/>
        <s v="Noodles"/>
        <s v="Beef"/>
      </sharedItems>
    </cacheField>
    <cacheField name="Unit Price" numFmtId="176">
      <sharedItems containsSemiMixedTypes="0" containsString="0" containsNumber="1" minValue="9.8000000000000007" maxValue="49.5"/>
    </cacheField>
    <cacheField name="Quantity Sold" numFmtId="0">
      <sharedItems containsSemiMixedTypes="0" containsString="0" containsNumber="1" containsInteger="1" minValue="5" maxValue="30"/>
    </cacheField>
    <cacheField name="Revenue" numFmtId="176">
      <sharedItems containsSemiMixedTypes="0" containsString="0" containsNumber="1" minValue="49" maxValue="1485"/>
    </cacheField>
  </cacheFields>
  <extLst>
    <ext xmlns:x14="http://schemas.microsoft.com/office/spreadsheetml/2009/9/main" uri="{725AE2AE-9491-48be-B2B4-4EB974FC3084}">
      <x14:pivotCacheDefinition pivotCacheId="8713552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0">
  <r>
    <x v="0"/>
    <x v="0"/>
    <x v="0"/>
    <x v="0"/>
    <x v="0"/>
    <n v="15.8"/>
    <n v="9"/>
    <n v="142.19999999999999"/>
  </r>
  <r>
    <x v="0"/>
    <x v="1"/>
    <x v="0"/>
    <x v="1"/>
    <x v="1"/>
    <n v="19.899999999999999"/>
    <n v="18"/>
    <n v="358.2"/>
  </r>
  <r>
    <x v="0"/>
    <x v="0"/>
    <x v="1"/>
    <x v="2"/>
    <x v="1"/>
    <n v="19.899999999999999"/>
    <n v="24"/>
    <n v="477.6"/>
  </r>
  <r>
    <x v="0"/>
    <x v="2"/>
    <x v="2"/>
    <x v="3"/>
    <x v="0"/>
    <n v="15.8"/>
    <n v="19"/>
    <n v="300.2"/>
  </r>
  <r>
    <x v="1"/>
    <x v="3"/>
    <x v="1"/>
    <x v="4"/>
    <x v="2"/>
    <n v="14.9"/>
    <n v="13"/>
    <n v="193.7"/>
  </r>
  <r>
    <x v="2"/>
    <x v="4"/>
    <x v="3"/>
    <x v="5"/>
    <x v="3"/>
    <n v="29.9"/>
    <n v="8"/>
    <n v="239.2"/>
  </r>
  <r>
    <x v="3"/>
    <x v="5"/>
    <x v="4"/>
    <x v="6"/>
    <x v="4"/>
    <n v="9.8000000000000007"/>
    <n v="19"/>
    <n v="186.2"/>
  </r>
  <r>
    <x v="1"/>
    <x v="6"/>
    <x v="5"/>
    <x v="7"/>
    <x v="2"/>
    <n v="14.9"/>
    <n v="25"/>
    <n v="372.5"/>
  </r>
  <r>
    <x v="1"/>
    <x v="5"/>
    <x v="4"/>
    <x v="8"/>
    <x v="5"/>
    <n v="49.5"/>
    <n v="26"/>
    <n v="1287"/>
  </r>
  <r>
    <x v="2"/>
    <x v="3"/>
    <x v="1"/>
    <x v="9"/>
    <x v="3"/>
    <n v="29.9"/>
    <n v="13"/>
    <n v="388.7"/>
  </r>
  <r>
    <x v="4"/>
    <x v="1"/>
    <x v="3"/>
    <x v="10"/>
    <x v="2"/>
    <n v="14.9"/>
    <n v="11"/>
    <n v="163.9"/>
  </r>
  <r>
    <x v="3"/>
    <x v="7"/>
    <x v="0"/>
    <x v="11"/>
    <x v="4"/>
    <n v="9.8000000000000007"/>
    <n v="10"/>
    <n v="98"/>
  </r>
  <r>
    <x v="1"/>
    <x v="7"/>
    <x v="2"/>
    <x v="12"/>
    <x v="3"/>
    <n v="29.9"/>
    <n v="13"/>
    <n v="388.7"/>
  </r>
  <r>
    <x v="1"/>
    <x v="4"/>
    <x v="0"/>
    <x v="13"/>
    <x v="0"/>
    <n v="15.8"/>
    <n v="6"/>
    <n v="94.8"/>
  </r>
  <r>
    <x v="3"/>
    <x v="8"/>
    <x v="3"/>
    <x v="14"/>
    <x v="1"/>
    <n v="19.899999999999999"/>
    <n v="27"/>
    <n v="537.29999999999995"/>
  </r>
  <r>
    <x v="3"/>
    <x v="4"/>
    <x v="0"/>
    <x v="15"/>
    <x v="4"/>
    <n v="9.8000000000000007"/>
    <n v="19"/>
    <n v="186.2"/>
  </r>
  <r>
    <x v="2"/>
    <x v="3"/>
    <x v="2"/>
    <x v="16"/>
    <x v="1"/>
    <n v="19.899999999999999"/>
    <n v="13"/>
    <n v="258.7"/>
  </r>
  <r>
    <x v="1"/>
    <x v="8"/>
    <x v="4"/>
    <x v="17"/>
    <x v="0"/>
    <n v="15.8"/>
    <n v="9"/>
    <n v="142.19999999999999"/>
  </r>
  <r>
    <x v="1"/>
    <x v="9"/>
    <x v="1"/>
    <x v="18"/>
    <x v="0"/>
    <n v="15.8"/>
    <n v="25"/>
    <n v="395"/>
  </r>
  <r>
    <x v="2"/>
    <x v="1"/>
    <x v="5"/>
    <x v="19"/>
    <x v="3"/>
    <n v="29.9"/>
    <n v="17"/>
    <n v="508.3"/>
  </r>
  <r>
    <x v="1"/>
    <x v="9"/>
    <x v="4"/>
    <x v="20"/>
    <x v="5"/>
    <n v="49.5"/>
    <n v="26"/>
    <n v="1287"/>
  </r>
  <r>
    <x v="0"/>
    <x v="1"/>
    <x v="4"/>
    <x v="21"/>
    <x v="5"/>
    <n v="49.5"/>
    <n v="14"/>
    <n v="693"/>
  </r>
  <r>
    <x v="4"/>
    <x v="10"/>
    <x v="5"/>
    <x v="22"/>
    <x v="1"/>
    <n v="19.899999999999999"/>
    <n v="29"/>
    <n v="577.1"/>
  </r>
  <r>
    <x v="2"/>
    <x v="2"/>
    <x v="1"/>
    <x v="23"/>
    <x v="1"/>
    <n v="19.899999999999999"/>
    <n v="11"/>
    <n v="218.9"/>
  </r>
  <r>
    <x v="2"/>
    <x v="5"/>
    <x v="2"/>
    <x v="24"/>
    <x v="5"/>
    <n v="49.5"/>
    <n v="24"/>
    <n v="1188"/>
  </r>
  <r>
    <x v="3"/>
    <x v="9"/>
    <x v="1"/>
    <x v="25"/>
    <x v="2"/>
    <n v="14.9"/>
    <n v="12"/>
    <n v="178.8"/>
  </r>
  <r>
    <x v="0"/>
    <x v="4"/>
    <x v="4"/>
    <x v="26"/>
    <x v="4"/>
    <n v="9.8000000000000007"/>
    <n v="20"/>
    <n v="196"/>
  </r>
  <r>
    <x v="0"/>
    <x v="2"/>
    <x v="2"/>
    <x v="27"/>
    <x v="1"/>
    <n v="19.899999999999999"/>
    <n v="10"/>
    <n v="199"/>
  </r>
  <r>
    <x v="3"/>
    <x v="2"/>
    <x v="4"/>
    <x v="28"/>
    <x v="1"/>
    <n v="19.899999999999999"/>
    <n v="29"/>
    <n v="577.1"/>
  </r>
  <r>
    <x v="2"/>
    <x v="7"/>
    <x v="3"/>
    <x v="17"/>
    <x v="3"/>
    <n v="29.9"/>
    <n v="21"/>
    <n v="627.9"/>
  </r>
  <r>
    <x v="4"/>
    <x v="6"/>
    <x v="2"/>
    <x v="9"/>
    <x v="2"/>
    <n v="14.9"/>
    <n v="5"/>
    <n v="74.5"/>
  </r>
  <r>
    <x v="1"/>
    <x v="2"/>
    <x v="2"/>
    <x v="29"/>
    <x v="5"/>
    <n v="49.5"/>
    <n v="7"/>
    <n v="346.5"/>
  </r>
  <r>
    <x v="0"/>
    <x v="4"/>
    <x v="1"/>
    <x v="30"/>
    <x v="5"/>
    <n v="49.5"/>
    <n v="21"/>
    <n v="1039.5"/>
  </r>
  <r>
    <x v="2"/>
    <x v="3"/>
    <x v="0"/>
    <x v="31"/>
    <x v="1"/>
    <n v="19.899999999999999"/>
    <n v="9"/>
    <n v="179.1"/>
  </r>
  <r>
    <x v="1"/>
    <x v="11"/>
    <x v="5"/>
    <x v="32"/>
    <x v="3"/>
    <n v="29.9"/>
    <n v="11"/>
    <n v="328.9"/>
  </r>
  <r>
    <x v="0"/>
    <x v="6"/>
    <x v="0"/>
    <x v="33"/>
    <x v="3"/>
    <n v="29.9"/>
    <n v="18"/>
    <n v="538.20000000000005"/>
  </r>
  <r>
    <x v="4"/>
    <x v="7"/>
    <x v="1"/>
    <x v="34"/>
    <x v="3"/>
    <n v="29.9"/>
    <n v="28"/>
    <n v="837.2"/>
  </r>
  <r>
    <x v="3"/>
    <x v="6"/>
    <x v="2"/>
    <x v="2"/>
    <x v="1"/>
    <n v="19.899999999999999"/>
    <n v="19"/>
    <n v="378.1"/>
  </r>
  <r>
    <x v="2"/>
    <x v="8"/>
    <x v="2"/>
    <x v="35"/>
    <x v="0"/>
    <n v="15.8"/>
    <n v="7"/>
    <n v="110.6"/>
  </r>
  <r>
    <x v="4"/>
    <x v="2"/>
    <x v="1"/>
    <x v="36"/>
    <x v="5"/>
    <n v="49.5"/>
    <n v="7"/>
    <n v="346.5"/>
  </r>
  <r>
    <x v="2"/>
    <x v="10"/>
    <x v="5"/>
    <x v="37"/>
    <x v="0"/>
    <n v="15.8"/>
    <n v="17"/>
    <n v="268.60000000000002"/>
  </r>
  <r>
    <x v="0"/>
    <x v="10"/>
    <x v="5"/>
    <x v="38"/>
    <x v="2"/>
    <n v="14.9"/>
    <n v="30"/>
    <n v="447"/>
  </r>
  <r>
    <x v="4"/>
    <x v="3"/>
    <x v="5"/>
    <x v="39"/>
    <x v="0"/>
    <n v="15.8"/>
    <n v="11"/>
    <n v="173.8"/>
  </r>
  <r>
    <x v="3"/>
    <x v="4"/>
    <x v="1"/>
    <x v="40"/>
    <x v="5"/>
    <n v="49.5"/>
    <n v="28"/>
    <n v="1386"/>
  </r>
  <r>
    <x v="3"/>
    <x v="0"/>
    <x v="1"/>
    <x v="41"/>
    <x v="1"/>
    <n v="19.899999999999999"/>
    <n v="21"/>
    <n v="417.9"/>
  </r>
  <r>
    <x v="2"/>
    <x v="0"/>
    <x v="4"/>
    <x v="42"/>
    <x v="5"/>
    <n v="49.5"/>
    <n v="24"/>
    <n v="1188"/>
  </r>
  <r>
    <x v="0"/>
    <x v="1"/>
    <x v="2"/>
    <x v="43"/>
    <x v="1"/>
    <n v="19.899999999999999"/>
    <n v="12"/>
    <n v="238.8"/>
  </r>
  <r>
    <x v="1"/>
    <x v="11"/>
    <x v="1"/>
    <x v="19"/>
    <x v="3"/>
    <n v="29.9"/>
    <n v="26"/>
    <n v="777.4"/>
  </r>
  <r>
    <x v="1"/>
    <x v="11"/>
    <x v="4"/>
    <x v="44"/>
    <x v="0"/>
    <n v="15.8"/>
    <n v="26"/>
    <n v="410.8"/>
  </r>
  <r>
    <x v="3"/>
    <x v="4"/>
    <x v="3"/>
    <x v="45"/>
    <x v="4"/>
    <n v="9.8000000000000007"/>
    <n v="25"/>
    <n v="245"/>
  </r>
  <r>
    <x v="3"/>
    <x v="9"/>
    <x v="3"/>
    <x v="46"/>
    <x v="3"/>
    <n v="29.9"/>
    <n v="24"/>
    <n v="717.6"/>
  </r>
  <r>
    <x v="1"/>
    <x v="6"/>
    <x v="1"/>
    <x v="47"/>
    <x v="1"/>
    <n v="19.899999999999999"/>
    <n v="13"/>
    <n v="258.7"/>
  </r>
  <r>
    <x v="2"/>
    <x v="5"/>
    <x v="1"/>
    <x v="48"/>
    <x v="2"/>
    <n v="14.9"/>
    <n v="10"/>
    <n v="149"/>
  </r>
  <r>
    <x v="4"/>
    <x v="2"/>
    <x v="0"/>
    <x v="49"/>
    <x v="4"/>
    <n v="9.8000000000000007"/>
    <n v="21"/>
    <n v="205.8"/>
  </r>
  <r>
    <x v="0"/>
    <x v="1"/>
    <x v="4"/>
    <x v="50"/>
    <x v="0"/>
    <n v="15.8"/>
    <n v="13"/>
    <n v="205.4"/>
  </r>
  <r>
    <x v="0"/>
    <x v="6"/>
    <x v="0"/>
    <x v="51"/>
    <x v="2"/>
    <n v="14.9"/>
    <n v="14"/>
    <n v="208.6"/>
  </r>
  <r>
    <x v="1"/>
    <x v="4"/>
    <x v="0"/>
    <x v="52"/>
    <x v="4"/>
    <n v="9.8000000000000007"/>
    <n v="25"/>
    <n v="245"/>
  </r>
  <r>
    <x v="3"/>
    <x v="2"/>
    <x v="5"/>
    <x v="6"/>
    <x v="5"/>
    <n v="49.5"/>
    <n v="25"/>
    <n v="1237.5"/>
  </r>
  <r>
    <x v="4"/>
    <x v="3"/>
    <x v="1"/>
    <x v="53"/>
    <x v="0"/>
    <n v="15.8"/>
    <n v="25"/>
    <n v="395"/>
  </r>
  <r>
    <x v="3"/>
    <x v="10"/>
    <x v="0"/>
    <x v="54"/>
    <x v="4"/>
    <n v="9.8000000000000007"/>
    <n v="18"/>
    <n v="176.4"/>
  </r>
  <r>
    <x v="1"/>
    <x v="0"/>
    <x v="1"/>
    <x v="42"/>
    <x v="1"/>
    <n v="19.899999999999999"/>
    <n v="6"/>
    <n v="119.4"/>
  </r>
  <r>
    <x v="3"/>
    <x v="11"/>
    <x v="4"/>
    <x v="55"/>
    <x v="0"/>
    <n v="15.8"/>
    <n v="6"/>
    <n v="94.8"/>
  </r>
  <r>
    <x v="3"/>
    <x v="5"/>
    <x v="1"/>
    <x v="56"/>
    <x v="4"/>
    <n v="9.8000000000000007"/>
    <n v="12"/>
    <n v="117.6"/>
  </r>
  <r>
    <x v="0"/>
    <x v="5"/>
    <x v="4"/>
    <x v="57"/>
    <x v="4"/>
    <n v="9.8000000000000007"/>
    <n v="9"/>
    <n v="88.2"/>
  </r>
  <r>
    <x v="2"/>
    <x v="10"/>
    <x v="2"/>
    <x v="58"/>
    <x v="0"/>
    <n v="15.8"/>
    <n v="28"/>
    <n v="442.4"/>
  </r>
  <r>
    <x v="3"/>
    <x v="8"/>
    <x v="0"/>
    <x v="59"/>
    <x v="0"/>
    <n v="15.8"/>
    <n v="30"/>
    <n v="474"/>
  </r>
  <r>
    <x v="0"/>
    <x v="8"/>
    <x v="1"/>
    <x v="31"/>
    <x v="0"/>
    <n v="15.8"/>
    <n v="19"/>
    <n v="300.2"/>
  </r>
  <r>
    <x v="3"/>
    <x v="3"/>
    <x v="2"/>
    <x v="60"/>
    <x v="4"/>
    <n v="9.8000000000000007"/>
    <n v="11"/>
    <n v="107.8"/>
  </r>
  <r>
    <x v="4"/>
    <x v="5"/>
    <x v="3"/>
    <x v="61"/>
    <x v="2"/>
    <n v="14.9"/>
    <n v="25"/>
    <n v="372.5"/>
  </r>
  <r>
    <x v="1"/>
    <x v="8"/>
    <x v="0"/>
    <x v="62"/>
    <x v="5"/>
    <n v="49.5"/>
    <n v="8"/>
    <n v="396"/>
  </r>
  <r>
    <x v="3"/>
    <x v="10"/>
    <x v="4"/>
    <x v="6"/>
    <x v="5"/>
    <n v="49.5"/>
    <n v="24"/>
    <n v="1188"/>
  </r>
  <r>
    <x v="4"/>
    <x v="5"/>
    <x v="0"/>
    <x v="63"/>
    <x v="1"/>
    <n v="19.899999999999999"/>
    <n v="21"/>
    <n v="417.9"/>
  </r>
  <r>
    <x v="0"/>
    <x v="8"/>
    <x v="4"/>
    <x v="64"/>
    <x v="5"/>
    <n v="49.5"/>
    <n v="27"/>
    <n v="1336.5"/>
  </r>
  <r>
    <x v="4"/>
    <x v="0"/>
    <x v="4"/>
    <x v="47"/>
    <x v="2"/>
    <n v="14.9"/>
    <n v="18"/>
    <n v="268.2"/>
  </r>
  <r>
    <x v="0"/>
    <x v="1"/>
    <x v="3"/>
    <x v="65"/>
    <x v="4"/>
    <n v="9.8000000000000007"/>
    <n v="8"/>
    <n v="78.400000000000006"/>
  </r>
  <r>
    <x v="3"/>
    <x v="2"/>
    <x v="3"/>
    <x v="33"/>
    <x v="3"/>
    <n v="29.9"/>
    <n v="27"/>
    <n v="807.3"/>
  </r>
  <r>
    <x v="3"/>
    <x v="2"/>
    <x v="2"/>
    <x v="66"/>
    <x v="4"/>
    <n v="9.8000000000000007"/>
    <n v="17"/>
    <n v="166.6"/>
  </r>
  <r>
    <x v="2"/>
    <x v="11"/>
    <x v="4"/>
    <x v="67"/>
    <x v="1"/>
    <n v="19.899999999999999"/>
    <n v="5"/>
    <n v="99.5"/>
  </r>
  <r>
    <x v="3"/>
    <x v="3"/>
    <x v="2"/>
    <x v="57"/>
    <x v="1"/>
    <n v="19.899999999999999"/>
    <n v="25"/>
    <n v="497.5"/>
  </r>
  <r>
    <x v="3"/>
    <x v="9"/>
    <x v="5"/>
    <x v="68"/>
    <x v="1"/>
    <n v="19.899999999999999"/>
    <n v="20"/>
    <n v="398"/>
  </r>
  <r>
    <x v="2"/>
    <x v="1"/>
    <x v="1"/>
    <x v="23"/>
    <x v="4"/>
    <n v="9.8000000000000007"/>
    <n v="25"/>
    <n v="245"/>
  </r>
  <r>
    <x v="1"/>
    <x v="5"/>
    <x v="1"/>
    <x v="59"/>
    <x v="0"/>
    <n v="15.8"/>
    <n v="30"/>
    <n v="474"/>
  </r>
  <r>
    <x v="2"/>
    <x v="10"/>
    <x v="1"/>
    <x v="69"/>
    <x v="3"/>
    <n v="29.9"/>
    <n v="24"/>
    <n v="717.6"/>
  </r>
  <r>
    <x v="0"/>
    <x v="9"/>
    <x v="5"/>
    <x v="29"/>
    <x v="4"/>
    <n v="9.8000000000000007"/>
    <n v="27"/>
    <n v="264.60000000000002"/>
  </r>
  <r>
    <x v="4"/>
    <x v="9"/>
    <x v="5"/>
    <x v="70"/>
    <x v="4"/>
    <n v="9.8000000000000007"/>
    <n v="27"/>
    <n v="264.60000000000002"/>
  </r>
  <r>
    <x v="0"/>
    <x v="6"/>
    <x v="5"/>
    <x v="70"/>
    <x v="4"/>
    <n v="9.8000000000000007"/>
    <n v="21"/>
    <n v="205.8"/>
  </r>
  <r>
    <x v="4"/>
    <x v="0"/>
    <x v="4"/>
    <x v="9"/>
    <x v="3"/>
    <n v="29.9"/>
    <n v="9"/>
    <n v="269.10000000000002"/>
  </r>
  <r>
    <x v="4"/>
    <x v="1"/>
    <x v="4"/>
    <x v="71"/>
    <x v="2"/>
    <n v="14.9"/>
    <n v="29"/>
    <n v="432.1"/>
  </r>
  <r>
    <x v="4"/>
    <x v="11"/>
    <x v="0"/>
    <x v="72"/>
    <x v="1"/>
    <n v="19.899999999999999"/>
    <n v="19"/>
    <n v="378.1"/>
  </r>
  <r>
    <x v="2"/>
    <x v="7"/>
    <x v="5"/>
    <x v="73"/>
    <x v="0"/>
    <n v="15.8"/>
    <n v="25"/>
    <n v="395"/>
  </r>
  <r>
    <x v="3"/>
    <x v="2"/>
    <x v="5"/>
    <x v="59"/>
    <x v="3"/>
    <n v="29.9"/>
    <n v="7"/>
    <n v="209.3"/>
  </r>
  <r>
    <x v="3"/>
    <x v="4"/>
    <x v="3"/>
    <x v="74"/>
    <x v="1"/>
    <n v="19.899999999999999"/>
    <n v="7"/>
    <n v="139.30000000000001"/>
  </r>
  <r>
    <x v="2"/>
    <x v="10"/>
    <x v="2"/>
    <x v="45"/>
    <x v="4"/>
    <n v="9.8000000000000007"/>
    <n v="11"/>
    <n v="107.8"/>
  </r>
  <r>
    <x v="0"/>
    <x v="8"/>
    <x v="5"/>
    <x v="75"/>
    <x v="3"/>
    <n v="29.9"/>
    <n v="18"/>
    <n v="538.20000000000005"/>
  </r>
  <r>
    <x v="0"/>
    <x v="4"/>
    <x v="5"/>
    <x v="76"/>
    <x v="4"/>
    <n v="9.8000000000000007"/>
    <n v="5"/>
    <n v="49"/>
  </r>
  <r>
    <x v="1"/>
    <x v="8"/>
    <x v="5"/>
    <x v="53"/>
    <x v="2"/>
    <n v="14.9"/>
    <n v="29"/>
    <n v="432.1"/>
  </r>
  <r>
    <x v="4"/>
    <x v="8"/>
    <x v="4"/>
    <x v="71"/>
    <x v="0"/>
    <n v="15.8"/>
    <n v="20"/>
    <n v="316"/>
  </r>
  <r>
    <x v="2"/>
    <x v="3"/>
    <x v="5"/>
    <x v="77"/>
    <x v="3"/>
    <n v="29.9"/>
    <n v="15"/>
    <n v="448.5"/>
  </r>
  <r>
    <x v="4"/>
    <x v="7"/>
    <x v="2"/>
    <x v="78"/>
    <x v="1"/>
    <n v="19.899999999999999"/>
    <n v="22"/>
    <n v="437.8"/>
  </r>
  <r>
    <x v="0"/>
    <x v="8"/>
    <x v="4"/>
    <x v="79"/>
    <x v="5"/>
    <n v="49.5"/>
    <n v="25"/>
    <n v="1237.5"/>
  </r>
  <r>
    <x v="4"/>
    <x v="10"/>
    <x v="5"/>
    <x v="80"/>
    <x v="2"/>
    <n v="14.9"/>
    <n v="17"/>
    <n v="253.3"/>
  </r>
  <r>
    <x v="3"/>
    <x v="4"/>
    <x v="5"/>
    <x v="74"/>
    <x v="3"/>
    <n v="29.9"/>
    <n v="13"/>
    <n v="388.7"/>
  </r>
  <r>
    <x v="4"/>
    <x v="3"/>
    <x v="1"/>
    <x v="77"/>
    <x v="4"/>
    <n v="9.8000000000000007"/>
    <n v="22"/>
    <n v="215.6"/>
  </r>
  <r>
    <x v="0"/>
    <x v="5"/>
    <x v="2"/>
    <x v="46"/>
    <x v="5"/>
    <n v="49.5"/>
    <n v="12"/>
    <n v="594"/>
  </r>
  <r>
    <x v="2"/>
    <x v="0"/>
    <x v="4"/>
    <x v="81"/>
    <x v="0"/>
    <n v="15.8"/>
    <n v="20"/>
    <n v="316"/>
  </r>
  <r>
    <x v="0"/>
    <x v="11"/>
    <x v="2"/>
    <x v="73"/>
    <x v="2"/>
    <n v="14.9"/>
    <n v="10"/>
    <n v="149"/>
  </r>
  <r>
    <x v="1"/>
    <x v="11"/>
    <x v="0"/>
    <x v="82"/>
    <x v="2"/>
    <n v="14.9"/>
    <n v="8"/>
    <n v="119.2"/>
  </r>
  <r>
    <x v="1"/>
    <x v="0"/>
    <x v="3"/>
    <x v="83"/>
    <x v="3"/>
    <n v="29.9"/>
    <n v="27"/>
    <n v="807.3"/>
  </r>
  <r>
    <x v="2"/>
    <x v="6"/>
    <x v="4"/>
    <x v="9"/>
    <x v="4"/>
    <n v="9.8000000000000007"/>
    <n v="29"/>
    <n v="284.2"/>
  </r>
  <r>
    <x v="3"/>
    <x v="1"/>
    <x v="4"/>
    <x v="84"/>
    <x v="5"/>
    <n v="49.5"/>
    <n v="16"/>
    <n v="792"/>
  </r>
  <r>
    <x v="1"/>
    <x v="8"/>
    <x v="0"/>
    <x v="85"/>
    <x v="1"/>
    <n v="19.899999999999999"/>
    <n v="25"/>
    <n v="497.5"/>
  </r>
  <r>
    <x v="3"/>
    <x v="0"/>
    <x v="5"/>
    <x v="86"/>
    <x v="3"/>
    <n v="29.9"/>
    <n v="16"/>
    <n v="478.4"/>
  </r>
  <r>
    <x v="4"/>
    <x v="7"/>
    <x v="2"/>
    <x v="87"/>
    <x v="4"/>
    <n v="9.8000000000000007"/>
    <n v="21"/>
    <n v="205.8"/>
  </r>
  <r>
    <x v="3"/>
    <x v="11"/>
    <x v="4"/>
    <x v="37"/>
    <x v="3"/>
    <n v="29.9"/>
    <n v="28"/>
    <n v="837.2"/>
  </r>
  <r>
    <x v="1"/>
    <x v="3"/>
    <x v="3"/>
    <x v="9"/>
    <x v="2"/>
    <n v="14.9"/>
    <n v="19"/>
    <n v="283.10000000000002"/>
  </r>
  <r>
    <x v="2"/>
    <x v="9"/>
    <x v="4"/>
    <x v="88"/>
    <x v="2"/>
    <n v="14.9"/>
    <n v="5"/>
    <n v="74.5"/>
  </r>
  <r>
    <x v="4"/>
    <x v="5"/>
    <x v="2"/>
    <x v="31"/>
    <x v="2"/>
    <n v="14.9"/>
    <n v="30"/>
    <n v="447"/>
  </r>
  <r>
    <x v="3"/>
    <x v="5"/>
    <x v="3"/>
    <x v="89"/>
    <x v="1"/>
    <n v="19.899999999999999"/>
    <n v="5"/>
    <n v="99.5"/>
  </r>
  <r>
    <x v="1"/>
    <x v="4"/>
    <x v="1"/>
    <x v="90"/>
    <x v="3"/>
    <n v="29.9"/>
    <n v="22"/>
    <n v="657.8"/>
  </r>
  <r>
    <x v="2"/>
    <x v="7"/>
    <x v="5"/>
    <x v="37"/>
    <x v="5"/>
    <n v="49.5"/>
    <n v="7"/>
    <n v="346.5"/>
  </r>
  <r>
    <x v="3"/>
    <x v="4"/>
    <x v="5"/>
    <x v="59"/>
    <x v="4"/>
    <n v="9.8000000000000007"/>
    <n v="23"/>
    <n v="225.4"/>
  </r>
  <r>
    <x v="3"/>
    <x v="9"/>
    <x v="4"/>
    <x v="91"/>
    <x v="3"/>
    <n v="29.9"/>
    <n v="28"/>
    <n v="837.2"/>
  </r>
  <r>
    <x v="1"/>
    <x v="5"/>
    <x v="3"/>
    <x v="73"/>
    <x v="2"/>
    <n v="14.9"/>
    <n v="13"/>
    <n v="193.7"/>
  </r>
  <r>
    <x v="2"/>
    <x v="6"/>
    <x v="0"/>
    <x v="92"/>
    <x v="5"/>
    <n v="49.5"/>
    <n v="28"/>
    <n v="1386"/>
  </r>
  <r>
    <x v="1"/>
    <x v="7"/>
    <x v="2"/>
    <x v="2"/>
    <x v="4"/>
    <n v="9.8000000000000007"/>
    <n v="20"/>
    <n v="196"/>
  </r>
  <r>
    <x v="3"/>
    <x v="7"/>
    <x v="4"/>
    <x v="93"/>
    <x v="2"/>
    <n v="14.9"/>
    <n v="8"/>
    <n v="119.2"/>
  </r>
  <r>
    <x v="2"/>
    <x v="3"/>
    <x v="2"/>
    <x v="94"/>
    <x v="2"/>
    <n v="14.9"/>
    <n v="5"/>
    <n v="74.5"/>
  </r>
  <r>
    <x v="1"/>
    <x v="10"/>
    <x v="3"/>
    <x v="95"/>
    <x v="1"/>
    <n v="19.899999999999999"/>
    <n v="14"/>
    <n v="278.60000000000002"/>
  </r>
  <r>
    <x v="2"/>
    <x v="1"/>
    <x v="5"/>
    <x v="34"/>
    <x v="1"/>
    <n v="19.899999999999999"/>
    <n v="14"/>
    <n v="278.60000000000002"/>
  </r>
  <r>
    <x v="4"/>
    <x v="9"/>
    <x v="5"/>
    <x v="96"/>
    <x v="5"/>
    <n v="49.5"/>
    <n v="13"/>
    <n v="643.5"/>
  </r>
  <r>
    <x v="4"/>
    <x v="6"/>
    <x v="1"/>
    <x v="97"/>
    <x v="5"/>
    <n v="49.5"/>
    <n v="23"/>
    <n v="1138.5"/>
  </r>
  <r>
    <x v="0"/>
    <x v="10"/>
    <x v="2"/>
    <x v="98"/>
    <x v="5"/>
    <n v="49.5"/>
    <n v="12"/>
    <n v="594"/>
  </r>
  <r>
    <x v="0"/>
    <x v="2"/>
    <x v="5"/>
    <x v="99"/>
    <x v="1"/>
    <n v="19.899999999999999"/>
    <n v="12"/>
    <n v="238.8"/>
  </r>
  <r>
    <x v="1"/>
    <x v="8"/>
    <x v="5"/>
    <x v="73"/>
    <x v="1"/>
    <n v="19.899999999999999"/>
    <n v="18"/>
    <n v="358.2"/>
  </r>
  <r>
    <x v="3"/>
    <x v="11"/>
    <x v="4"/>
    <x v="100"/>
    <x v="4"/>
    <n v="9.8000000000000007"/>
    <n v="8"/>
    <n v="78.400000000000006"/>
  </r>
  <r>
    <x v="2"/>
    <x v="1"/>
    <x v="2"/>
    <x v="101"/>
    <x v="0"/>
    <n v="15.8"/>
    <n v="12"/>
    <n v="189.6"/>
  </r>
  <r>
    <x v="2"/>
    <x v="2"/>
    <x v="1"/>
    <x v="80"/>
    <x v="3"/>
    <n v="29.9"/>
    <n v="19"/>
    <n v="568.1"/>
  </r>
  <r>
    <x v="1"/>
    <x v="9"/>
    <x v="3"/>
    <x v="69"/>
    <x v="2"/>
    <n v="14.9"/>
    <n v="27"/>
    <n v="402.3"/>
  </r>
  <r>
    <x v="3"/>
    <x v="7"/>
    <x v="5"/>
    <x v="14"/>
    <x v="2"/>
    <n v="14.9"/>
    <n v="30"/>
    <n v="447"/>
  </r>
  <r>
    <x v="1"/>
    <x v="1"/>
    <x v="2"/>
    <x v="102"/>
    <x v="1"/>
    <n v="19.899999999999999"/>
    <n v="12"/>
    <n v="238.8"/>
  </r>
  <r>
    <x v="2"/>
    <x v="3"/>
    <x v="2"/>
    <x v="46"/>
    <x v="0"/>
    <n v="15.8"/>
    <n v="30"/>
    <n v="474"/>
  </r>
  <r>
    <x v="3"/>
    <x v="11"/>
    <x v="0"/>
    <x v="98"/>
    <x v="3"/>
    <n v="29.9"/>
    <n v="8"/>
    <n v="239.2"/>
  </r>
  <r>
    <x v="4"/>
    <x v="7"/>
    <x v="3"/>
    <x v="103"/>
    <x v="1"/>
    <n v="19.899999999999999"/>
    <n v="22"/>
    <n v="437.8"/>
  </r>
  <r>
    <x v="4"/>
    <x v="9"/>
    <x v="1"/>
    <x v="104"/>
    <x v="3"/>
    <n v="29.9"/>
    <n v="28"/>
    <n v="837.2"/>
  </r>
  <r>
    <x v="3"/>
    <x v="11"/>
    <x v="3"/>
    <x v="105"/>
    <x v="0"/>
    <n v="15.8"/>
    <n v="26"/>
    <n v="410.8"/>
  </r>
  <r>
    <x v="1"/>
    <x v="11"/>
    <x v="1"/>
    <x v="106"/>
    <x v="5"/>
    <n v="49.5"/>
    <n v="29"/>
    <n v="1435.5"/>
  </r>
  <r>
    <x v="2"/>
    <x v="9"/>
    <x v="4"/>
    <x v="73"/>
    <x v="0"/>
    <n v="15.8"/>
    <n v="23"/>
    <n v="363.4"/>
  </r>
  <r>
    <x v="4"/>
    <x v="1"/>
    <x v="5"/>
    <x v="107"/>
    <x v="2"/>
    <n v="14.9"/>
    <n v="18"/>
    <n v="268.2"/>
  </r>
  <r>
    <x v="3"/>
    <x v="5"/>
    <x v="0"/>
    <x v="82"/>
    <x v="2"/>
    <n v="14.9"/>
    <n v="18"/>
    <n v="268.2"/>
  </r>
  <r>
    <x v="4"/>
    <x v="3"/>
    <x v="0"/>
    <x v="108"/>
    <x v="5"/>
    <n v="49.5"/>
    <n v="19"/>
    <n v="940.5"/>
  </r>
  <r>
    <x v="0"/>
    <x v="5"/>
    <x v="3"/>
    <x v="109"/>
    <x v="3"/>
    <n v="29.9"/>
    <n v="21"/>
    <n v="627.9"/>
  </r>
  <r>
    <x v="0"/>
    <x v="1"/>
    <x v="4"/>
    <x v="110"/>
    <x v="5"/>
    <n v="49.5"/>
    <n v="11"/>
    <n v="544.5"/>
  </r>
  <r>
    <x v="1"/>
    <x v="5"/>
    <x v="4"/>
    <x v="37"/>
    <x v="5"/>
    <n v="49.5"/>
    <n v="11"/>
    <n v="544.5"/>
  </r>
  <r>
    <x v="3"/>
    <x v="2"/>
    <x v="2"/>
    <x v="111"/>
    <x v="4"/>
    <n v="9.8000000000000007"/>
    <n v="20"/>
    <n v="196"/>
  </r>
  <r>
    <x v="0"/>
    <x v="0"/>
    <x v="0"/>
    <x v="112"/>
    <x v="4"/>
    <n v="9.8000000000000007"/>
    <n v="10"/>
    <n v="98"/>
  </r>
  <r>
    <x v="3"/>
    <x v="2"/>
    <x v="1"/>
    <x v="3"/>
    <x v="5"/>
    <n v="49.5"/>
    <n v="12"/>
    <n v="594"/>
  </r>
  <r>
    <x v="0"/>
    <x v="9"/>
    <x v="1"/>
    <x v="27"/>
    <x v="4"/>
    <n v="9.8000000000000007"/>
    <n v="14"/>
    <n v="137.19999999999999"/>
  </r>
  <r>
    <x v="1"/>
    <x v="7"/>
    <x v="3"/>
    <x v="113"/>
    <x v="3"/>
    <n v="29.9"/>
    <n v="12"/>
    <n v="358.8"/>
  </r>
  <r>
    <x v="4"/>
    <x v="2"/>
    <x v="2"/>
    <x v="114"/>
    <x v="1"/>
    <n v="19.899999999999999"/>
    <n v="21"/>
    <n v="417.9"/>
  </r>
  <r>
    <x v="2"/>
    <x v="6"/>
    <x v="3"/>
    <x v="33"/>
    <x v="1"/>
    <n v="19.899999999999999"/>
    <n v="13"/>
    <n v="258.7"/>
  </r>
  <r>
    <x v="0"/>
    <x v="3"/>
    <x v="0"/>
    <x v="49"/>
    <x v="1"/>
    <n v="19.899999999999999"/>
    <n v="26"/>
    <n v="517.4"/>
  </r>
  <r>
    <x v="4"/>
    <x v="10"/>
    <x v="5"/>
    <x v="39"/>
    <x v="2"/>
    <n v="14.9"/>
    <n v="15"/>
    <n v="223.5"/>
  </r>
  <r>
    <x v="1"/>
    <x v="2"/>
    <x v="5"/>
    <x v="115"/>
    <x v="0"/>
    <n v="15.8"/>
    <n v="27"/>
    <n v="426.6"/>
  </r>
  <r>
    <x v="2"/>
    <x v="11"/>
    <x v="5"/>
    <x v="90"/>
    <x v="5"/>
    <n v="49.5"/>
    <n v="15"/>
    <n v="742.5"/>
  </r>
  <r>
    <x v="4"/>
    <x v="7"/>
    <x v="5"/>
    <x v="45"/>
    <x v="3"/>
    <n v="29.9"/>
    <n v="6"/>
    <n v="179.4"/>
  </r>
  <r>
    <x v="2"/>
    <x v="2"/>
    <x v="4"/>
    <x v="109"/>
    <x v="3"/>
    <n v="29.9"/>
    <n v="8"/>
    <n v="239.2"/>
  </r>
  <r>
    <x v="1"/>
    <x v="9"/>
    <x v="1"/>
    <x v="55"/>
    <x v="4"/>
    <n v="9.8000000000000007"/>
    <n v="9"/>
    <n v="88.2"/>
  </r>
  <r>
    <x v="0"/>
    <x v="9"/>
    <x v="3"/>
    <x v="116"/>
    <x v="4"/>
    <n v="9.8000000000000007"/>
    <n v="17"/>
    <n v="166.6"/>
  </r>
  <r>
    <x v="0"/>
    <x v="5"/>
    <x v="0"/>
    <x v="3"/>
    <x v="2"/>
    <n v="14.9"/>
    <n v="25"/>
    <n v="372.5"/>
  </r>
  <r>
    <x v="4"/>
    <x v="2"/>
    <x v="1"/>
    <x v="19"/>
    <x v="0"/>
    <n v="15.8"/>
    <n v="25"/>
    <n v="395"/>
  </r>
  <r>
    <x v="3"/>
    <x v="4"/>
    <x v="0"/>
    <x v="117"/>
    <x v="5"/>
    <n v="49.5"/>
    <n v="29"/>
    <n v="1435.5"/>
  </r>
  <r>
    <x v="0"/>
    <x v="9"/>
    <x v="2"/>
    <x v="118"/>
    <x v="5"/>
    <n v="49.5"/>
    <n v="15"/>
    <n v="742.5"/>
  </r>
  <r>
    <x v="0"/>
    <x v="3"/>
    <x v="3"/>
    <x v="119"/>
    <x v="0"/>
    <n v="15.8"/>
    <n v="12"/>
    <n v="189.6"/>
  </r>
  <r>
    <x v="1"/>
    <x v="8"/>
    <x v="4"/>
    <x v="120"/>
    <x v="0"/>
    <n v="15.8"/>
    <n v="7"/>
    <n v="110.6"/>
  </r>
  <r>
    <x v="1"/>
    <x v="8"/>
    <x v="4"/>
    <x v="32"/>
    <x v="1"/>
    <n v="19.899999999999999"/>
    <n v="9"/>
    <n v="179.1"/>
  </r>
  <r>
    <x v="2"/>
    <x v="9"/>
    <x v="0"/>
    <x v="35"/>
    <x v="2"/>
    <n v="14.9"/>
    <n v="26"/>
    <n v="387.4"/>
  </r>
  <r>
    <x v="0"/>
    <x v="9"/>
    <x v="3"/>
    <x v="51"/>
    <x v="5"/>
    <n v="49.5"/>
    <n v="19"/>
    <n v="940.5"/>
  </r>
  <r>
    <x v="3"/>
    <x v="11"/>
    <x v="3"/>
    <x v="121"/>
    <x v="3"/>
    <n v="29.9"/>
    <n v="14"/>
    <n v="418.6"/>
  </r>
  <r>
    <x v="2"/>
    <x v="8"/>
    <x v="5"/>
    <x v="122"/>
    <x v="3"/>
    <n v="29.9"/>
    <n v="23"/>
    <n v="687.7"/>
  </r>
  <r>
    <x v="3"/>
    <x v="11"/>
    <x v="3"/>
    <x v="118"/>
    <x v="4"/>
    <n v="9.8000000000000007"/>
    <n v="17"/>
    <n v="166.6"/>
  </r>
  <r>
    <x v="3"/>
    <x v="0"/>
    <x v="4"/>
    <x v="100"/>
    <x v="4"/>
    <n v="9.8000000000000007"/>
    <n v="20"/>
    <n v="196"/>
  </r>
  <r>
    <x v="3"/>
    <x v="4"/>
    <x v="4"/>
    <x v="56"/>
    <x v="4"/>
    <n v="9.8000000000000007"/>
    <n v="11"/>
    <n v="107.8"/>
  </r>
  <r>
    <x v="1"/>
    <x v="3"/>
    <x v="0"/>
    <x v="123"/>
    <x v="4"/>
    <n v="9.8000000000000007"/>
    <n v="25"/>
    <n v="245"/>
  </r>
  <r>
    <x v="0"/>
    <x v="3"/>
    <x v="5"/>
    <x v="100"/>
    <x v="2"/>
    <n v="14.9"/>
    <n v="28"/>
    <n v="417.2"/>
  </r>
  <r>
    <x v="2"/>
    <x v="6"/>
    <x v="3"/>
    <x v="63"/>
    <x v="0"/>
    <n v="15.8"/>
    <n v="11"/>
    <n v="173.8"/>
  </r>
  <r>
    <x v="2"/>
    <x v="2"/>
    <x v="3"/>
    <x v="124"/>
    <x v="2"/>
    <n v="14.9"/>
    <n v="10"/>
    <n v="149"/>
  </r>
  <r>
    <x v="3"/>
    <x v="9"/>
    <x v="3"/>
    <x v="109"/>
    <x v="3"/>
    <n v="29.9"/>
    <n v="7"/>
    <n v="209.3"/>
  </r>
  <r>
    <x v="2"/>
    <x v="4"/>
    <x v="0"/>
    <x v="108"/>
    <x v="2"/>
    <n v="14.9"/>
    <n v="7"/>
    <n v="104.3"/>
  </r>
  <r>
    <x v="4"/>
    <x v="0"/>
    <x v="3"/>
    <x v="1"/>
    <x v="3"/>
    <n v="29.9"/>
    <n v="16"/>
    <n v="478.4"/>
  </r>
  <r>
    <x v="3"/>
    <x v="11"/>
    <x v="5"/>
    <x v="85"/>
    <x v="4"/>
    <n v="9.8000000000000007"/>
    <n v="12"/>
    <n v="117.6"/>
  </r>
  <r>
    <x v="4"/>
    <x v="0"/>
    <x v="4"/>
    <x v="62"/>
    <x v="1"/>
    <n v="19.899999999999999"/>
    <n v="12"/>
    <n v="238.8"/>
  </r>
  <r>
    <x v="0"/>
    <x v="1"/>
    <x v="5"/>
    <x v="67"/>
    <x v="5"/>
    <n v="49.5"/>
    <n v="9"/>
    <n v="445.5"/>
  </r>
  <r>
    <x v="0"/>
    <x v="0"/>
    <x v="3"/>
    <x v="86"/>
    <x v="5"/>
    <n v="49.5"/>
    <n v="12"/>
    <n v="594"/>
  </r>
  <r>
    <x v="1"/>
    <x v="10"/>
    <x v="5"/>
    <x v="115"/>
    <x v="4"/>
    <n v="9.8000000000000007"/>
    <n v="28"/>
    <n v="274.39999999999998"/>
  </r>
  <r>
    <x v="1"/>
    <x v="8"/>
    <x v="4"/>
    <x v="55"/>
    <x v="4"/>
    <n v="9.8000000000000007"/>
    <n v="8"/>
    <n v="78.400000000000006"/>
  </r>
  <r>
    <x v="4"/>
    <x v="11"/>
    <x v="5"/>
    <x v="6"/>
    <x v="4"/>
    <n v="9.8000000000000007"/>
    <n v="16"/>
    <n v="156.80000000000001"/>
  </r>
  <r>
    <x v="2"/>
    <x v="9"/>
    <x v="5"/>
    <x v="48"/>
    <x v="5"/>
    <n v="49.5"/>
    <n v="26"/>
    <n v="1287"/>
  </r>
  <r>
    <x v="3"/>
    <x v="2"/>
    <x v="0"/>
    <x v="125"/>
    <x v="3"/>
    <n v="29.9"/>
    <n v="13"/>
    <n v="388.7"/>
  </r>
  <r>
    <x v="2"/>
    <x v="6"/>
    <x v="5"/>
    <x v="14"/>
    <x v="4"/>
    <n v="9.8000000000000007"/>
    <n v="25"/>
    <n v="245"/>
  </r>
  <r>
    <x v="1"/>
    <x v="0"/>
    <x v="1"/>
    <x v="52"/>
    <x v="0"/>
    <n v="15.8"/>
    <n v="30"/>
    <n v="474"/>
  </r>
  <r>
    <x v="1"/>
    <x v="4"/>
    <x v="1"/>
    <x v="47"/>
    <x v="1"/>
    <n v="19.899999999999999"/>
    <n v="11"/>
    <n v="218.9"/>
  </r>
  <r>
    <x v="2"/>
    <x v="5"/>
    <x v="2"/>
    <x v="104"/>
    <x v="2"/>
    <n v="14.9"/>
    <n v="9"/>
    <n v="134.1"/>
  </r>
  <r>
    <x v="2"/>
    <x v="2"/>
    <x v="3"/>
    <x v="126"/>
    <x v="4"/>
    <n v="9.8000000000000007"/>
    <n v="5"/>
    <n v="49"/>
  </r>
  <r>
    <x v="2"/>
    <x v="0"/>
    <x v="3"/>
    <x v="127"/>
    <x v="2"/>
    <n v="14.9"/>
    <n v="5"/>
    <n v="74.5"/>
  </r>
  <r>
    <x v="2"/>
    <x v="3"/>
    <x v="1"/>
    <x v="55"/>
    <x v="1"/>
    <n v="19.899999999999999"/>
    <n v="8"/>
    <n v="159.19999999999999"/>
  </r>
  <r>
    <x v="0"/>
    <x v="9"/>
    <x v="5"/>
    <x v="128"/>
    <x v="1"/>
    <n v="19.899999999999999"/>
    <n v="8"/>
    <n v="159.19999999999999"/>
  </r>
  <r>
    <x v="4"/>
    <x v="2"/>
    <x v="2"/>
    <x v="104"/>
    <x v="4"/>
    <n v="9.8000000000000007"/>
    <n v="30"/>
    <n v="294"/>
  </r>
  <r>
    <x v="1"/>
    <x v="3"/>
    <x v="5"/>
    <x v="129"/>
    <x v="3"/>
    <n v="29.9"/>
    <n v="17"/>
    <n v="508.3"/>
  </r>
  <r>
    <x v="4"/>
    <x v="1"/>
    <x v="1"/>
    <x v="37"/>
    <x v="5"/>
    <n v="49.5"/>
    <n v="7"/>
    <n v="346.5"/>
  </r>
  <r>
    <x v="3"/>
    <x v="11"/>
    <x v="2"/>
    <x v="42"/>
    <x v="2"/>
    <n v="14.9"/>
    <n v="24"/>
    <n v="357.6"/>
  </r>
  <r>
    <x v="1"/>
    <x v="2"/>
    <x v="0"/>
    <x v="63"/>
    <x v="1"/>
    <n v="19.899999999999999"/>
    <n v="21"/>
    <n v="417.9"/>
  </r>
  <r>
    <x v="3"/>
    <x v="9"/>
    <x v="4"/>
    <x v="88"/>
    <x v="5"/>
    <n v="49.5"/>
    <n v="30"/>
    <n v="1485"/>
  </r>
  <r>
    <x v="0"/>
    <x v="1"/>
    <x v="0"/>
    <x v="47"/>
    <x v="3"/>
    <n v="29.9"/>
    <n v="19"/>
    <n v="568.1"/>
  </r>
  <r>
    <x v="2"/>
    <x v="8"/>
    <x v="3"/>
    <x v="110"/>
    <x v="3"/>
    <n v="29.9"/>
    <n v="28"/>
    <n v="837.2"/>
  </r>
  <r>
    <x v="0"/>
    <x v="5"/>
    <x v="5"/>
    <x v="44"/>
    <x v="2"/>
    <n v="14.9"/>
    <n v="9"/>
    <n v="134.1"/>
  </r>
  <r>
    <x v="4"/>
    <x v="6"/>
    <x v="1"/>
    <x v="26"/>
    <x v="3"/>
    <n v="29.9"/>
    <n v="8"/>
    <n v="239.2"/>
  </r>
  <r>
    <x v="3"/>
    <x v="10"/>
    <x v="4"/>
    <x v="100"/>
    <x v="1"/>
    <n v="19.899999999999999"/>
    <n v="22"/>
    <n v="437.8"/>
  </r>
  <r>
    <x v="3"/>
    <x v="1"/>
    <x v="1"/>
    <x v="33"/>
    <x v="4"/>
    <n v="9.8000000000000007"/>
    <n v="29"/>
    <n v="284.2"/>
  </r>
  <r>
    <x v="4"/>
    <x v="7"/>
    <x v="1"/>
    <x v="49"/>
    <x v="2"/>
    <n v="14.9"/>
    <n v="16"/>
    <n v="238.4"/>
  </r>
  <r>
    <x v="0"/>
    <x v="11"/>
    <x v="4"/>
    <x v="130"/>
    <x v="4"/>
    <n v="9.8000000000000007"/>
    <n v="20"/>
    <n v="196"/>
  </r>
  <r>
    <x v="2"/>
    <x v="6"/>
    <x v="3"/>
    <x v="62"/>
    <x v="5"/>
    <n v="49.5"/>
    <n v="29"/>
    <n v="1435.5"/>
  </r>
  <r>
    <x v="3"/>
    <x v="11"/>
    <x v="2"/>
    <x v="131"/>
    <x v="1"/>
    <n v="19.899999999999999"/>
    <n v="24"/>
    <n v="477.6"/>
  </r>
  <r>
    <x v="1"/>
    <x v="0"/>
    <x v="4"/>
    <x v="6"/>
    <x v="0"/>
    <n v="15.8"/>
    <n v="13"/>
    <n v="205.4"/>
  </r>
  <r>
    <x v="3"/>
    <x v="5"/>
    <x v="3"/>
    <x v="132"/>
    <x v="0"/>
    <n v="15.8"/>
    <n v="23"/>
    <n v="363.4"/>
  </r>
  <r>
    <x v="4"/>
    <x v="6"/>
    <x v="2"/>
    <x v="105"/>
    <x v="4"/>
    <n v="9.8000000000000007"/>
    <n v="21"/>
    <n v="205.8"/>
  </r>
  <r>
    <x v="2"/>
    <x v="8"/>
    <x v="5"/>
    <x v="115"/>
    <x v="0"/>
    <n v="15.8"/>
    <n v="16"/>
    <n v="252.8"/>
  </r>
  <r>
    <x v="3"/>
    <x v="7"/>
    <x v="3"/>
    <x v="133"/>
    <x v="5"/>
    <n v="49.5"/>
    <n v="6"/>
    <n v="297"/>
  </r>
  <r>
    <x v="2"/>
    <x v="10"/>
    <x v="4"/>
    <x v="18"/>
    <x v="2"/>
    <n v="14.9"/>
    <n v="19"/>
    <n v="283.10000000000002"/>
  </r>
  <r>
    <x v="4"/>
    <x v="9"/>
    <x v="4"/>
    <x v="110"/>
    <x v="2"/>
    <n v="14.9"/>
    <n v="11"/>
    <n v="163.9"/>
  </r>
  <r>
    <x v="1"/>
    <x v="6"/>
    <x v="3"/>
    <x v="102"/>
    <x v="2"/>
    <n v="14.9"/>
    <n v="26"/>
    <n v="387.4"/>
  </r>
  <r>
    <x v="1"/>
    <x v="9"/>
    <x v="4"/>
    <x v="118"/>
    <x v="0"/>
    <n v="15.8"/>
    <n v="17"/>
    <n v="268.60000000000002"/>
  </r>
  <r>
    <x v="1"/>
    <x v="0"/>
    <x v="1"/>
    <x v="64"/>
    <x v="0"/>
    <n v="15.8"/>
    <n v="29"/>
    <n v="458.2"/>
  </r>
  <r>
    <x v="2"/>
    <x v="3"/>
    <x v="3"/>
    <x v="109"/>
    <x v="5"/>
    <n v="49.5"/>
    <n v="20"/>
    <n v="990"/>
  </r>
  <r>
    <x v="4"/>
    <x v="10"/>
    <x v="2"/>
    <x v="108"/>
    <x v="4"/>
    <n v="9.8000000000000007"/>
    <n v="12"/>
    <n v="117.6"/>
  </r>
  <r>
    <x v="1"/>
    <x v="2"/>
    <x v="0"/>
    <x v="85"/>
    <x v="3"/>
    <n v="29.9"/>
    <n v="28"/>
    <n v="837.2"/>
  </r>
  <r>
    <x v="0"/>
    <x v="8"/>
    <x v="1"/>
    <x v="134"/>
    <x v="2"/>
    <n v="14.9"/>
    <n v="23"/>
    <n v="342.7"/>
  </r>
  <r>
    <x v="4"/>
    <x v="11"/>
    <x v="5"/>
    <x v="121"/>
    <x v="5"/>
    <n v="49.5"/>
    <n v="17"/>
    <n v="841.5"/>
  </r>
  <r>
    <x v="0"/>
    <x v="5"/>
    <x v="2"/>
    <x v="135"/>
    <x v="4"/>
    <n v="9.8000000000000007"/>
    <n v="16"/>
    <n v="156.80000000000001"/>
  </r>
  <r>
    <x v="0"/>
    <x v="8"/>
    <x v="1"/>
    <x v="90"/>
    <x v="1"/>
    <n v="19.899999999999999"/>
    <n v="17"/>
    <n v="338.3"/>
  </r>
  <r>
    <x v="1"/>
    <x v="6"/>
    <x v="5"/>
    <x v="136"/>
    <x v="0"/>
    <n v="15.8"/>
    <n v="15"/>
    <n v="237"/>
  </r>
  <r>
    <x v="2"/>
    <x v="6"/>
    <x v="4"/>
    <x v="137"/>
    <x v="1"/>
    <n v="19.899999999999999"/>
    <n v="11"/>
    <n v="218.9"/>
  </r>
  <r>
    <x v="3"/>
    <x v="5"/>
    <x v="0"/>
    <x v="81"/>
    <x v="5"/>
    <n v="49.5"/>
    <n v="9"/>
    <n v="445.5"/>
  </r>
  <r>
    <x v="3"/>
    <x v="4"/>
    <x v="2"/>
    <x v="138"/>
    <x v="4"/>
    <n v="9.8000000000000007"/>
    <n v="7"/>
    <n v="68.599999999999994"/>
  </r>
  <r>
    <x v="2"/>
    <x v="1"/>
    <x v="5"/>
    <x v="139"/>
    <x v="1"/>
    <n v="19.899999999999999"/>
    <n v="19"/>
    <n v="378.1"/>
  </r>
  <r>
    <x v="1"/>
    <x v="1"/>
    <x v="0"/>
    <x v="65"/>
    <x v="4"/>
    <n v="9.8000000000000007"/>
    <n v="15"/>
    <n v="147"/>
  </r>
  <r>
    <x v="2"/>
    <x v="9"/>
    <x v="1"/>
    <x v="37"/>
    <x v="4"/>
    <n v="9.8000000000000007"/>
    <n v="14"/>
    <n v="137.19999999999999"/>
  </r>
  <r>
    <x v="3"/>
    <x v="11"/>
    <x v="1"/>
    <x v="128"/>
    <x v="5"/>
    <n v="49.5"/>
    <n v="14"/>
    <n v="693"/>
  </r>
  <r>
    <x v="4"/>
    <x v="9"/>
    <x v="1"/>
    <x v="30"/>
    <x v="2"/>
    <n v="14.9"/>
    <n v="7"/>
    <n v="104.3"/>
  </r>
  <r>
    <x v="0"/>
    <x v="11"/>
    <x v="4"/>
    <x v="72"/>
    <x v="3"/>
    <n v="29.9"/>
    <n v="23"/>
    <n v="687.7"/>
  </r>
  <r>
    <x v="1"/>
    <x v="7"/>
    <x v="1"/>
    <x v="139"/>
    <x v="4"/>
    <n v="9.8000000000000007"/>
    <n v="11"/>
    <n v="107.8"/>
  </r>
  <r>
    <x v="3"/>
    <x v="11"/>
    <x v="5"/>
    <x v="140"/>
    <x v="5"/>
    <n v="49.5"/>
    <n v="19"/>
    <n v="940.5"/>
  </r>
  <r>
    <x v="0"/>
    <x v="5"/>
    <x v="0"/>
    <x v="7"/>
    <x v="4"/>
    <n v="9.8000000000000007"/>
    <n v="10"/>
    <n v="98"/>
  </r>
  <r>
    <x v="0"/>
    <x v="4"/>
    <x v="0"/>
    <x v="141"/>
    <x v="1"/>
    <n v="19.899999999999999"/>
    <n v="21"/>
    <n v="417.9"/>
  </r>
  <r>
    <x v="1"/>
    <x v="10"/>
    <x v="3"/>
    <x v="142"/>
    <x v="3"/>
    <n v="29.9"/>
    <n v="18"/>
    <n v="538.20000000000005"/>
  </r>
  <r>
    <x v="3"/>
    <x v="1"/>
    <x v="4"/>
    <x v="30"/>
    <x v="5"/>
    <n v="49.5"/>
    <n v="15"/>
    <n v="742.5"/>
  </r>
  <r>
    <x v="0"/>
    <x v="2"/>
    <x v="0"/>
    <x v="103"/>
    <x v="2"/>
    <n v="14.9"/>
    <n v="28"/>
    <n v="417.2"/>
  </r>
  <r>
    <x v="1"/>
    <x v="10"/>
    <x v="3"/>
    <x v="11"/>
    <x v="4"/>
    <n v="9.8000000000000007"/>
    <n v="9"/>
    <n v="88.2"/>
  </r>
  <r>
    <x v="3"/>
    <x v="3"/>
    <x v="0"/>
    <x v="45"/>
    <x v="1"/>
    <n v="19.899999999999999"/>
    <n v="27"/>
    <n v="537.29999999999995"/>
  </r>
  <r>
    <x v="0"/>
    <x v="3"/>
    <x v="4"/>
    <x v="17"/>
    <x v="0"/>
    <n v="15.8"/>
    <n v="26"/>
    <n v="410.8"/>
  </r>
  <r>
    <x v="1"/>
    <x v="6"/>
    <x v="0"/>
    <x v="131"/>
    <x v="2"/>
    <n v="14.9"/>
    <n v="5"/>
    <n v="74.5"/>
  </r>
  <r>
    <x v="3"/>
    <x v="3"/>
    <x v="2"/>
    <x v="92"/>
    <x v="3"/>
    <n v="29.9"/>
    <n v="11"/>
    <n v="328.9"/>
  </r>
  <r>
    <x v="2"/>
    <x v="10"/>
    <x v="2"/>
    <x v="61"/>
    <x v="5"/>
    <n v="49.5"/>
    <n v="21"/>
    <n v="1039.5"/>
  </r>
  <r>
    <x v="1"/>
    <x v="7"/>
    <x v="4"/>
    <x v="30"/>
    <x v="1"/>
    <n v="19.899999999999999"/>
    <n v="9"/>
    <n v="179.1"/>
  </r>
  <r>
    <x v="1"/>
    <x v="8"/>
    <x v="2"/>
    <x v="120"/>
    <x v="4"/>
    <n v="9.8000000000000007"/>
    <n v="29"/>
    <n v="284.2"/>
  </r>
  <r>
    <x v="1"/>
    <x v="10"/>
    <x v="0"/>
    <x v="143"/>
    <x v="3"/>
    <n v="29.9"/>
    <n v="16"/>
    <n v="478.4"/>
  </r>
  <r>
    <x v="2"/>
    <x v="9"/>
    <x v="4"/>
    <x v="111"/>
    <x v="0"/>
    <n v="15.8"/>
    <n v="22"/>
    <n v="347.6"/>
  </r>
  <r>
    <x v="2"/>
    <x v="3"/>
    <x v="5"/>
    <x v="92"/>
    <x v="4"/>
    <n v="9.8000000000000007"/>
    <n v="23"/>
    <n v="225.4"/>
  </r>
  <r>
    <x v="4"/>
    <x v="9"/>
    <x v="3"/>
    <x v="108"/>
    <x v="1"/>
    <n v="19.899999999999999"/>
    <n v="18"/>
    <n v="358.2"/>
  </r>
  <r>
    <x v="2"/>
    <x v="4"/>
    <x v="4"/>
    <x v="144"/>
    <x v="5"/>
    <n v="49.5"/>
    <n v="25"/>
    <n v="1237.5"/>
  </r>
  <r>
    <x v="4"/>
    <x v="5"/>
    <x v="4"/>
    <x v="137"/>
    <x v="5"/>
    <n v="49.5"/>
    <n v="14"/>
    <n v="693"/>
  </r>
  <r>
    <x v="0"/>
    <x v="10"/>
    <x v="3"/>
    <x v="54"/>
    <x v="0"/>
    <n v="15.8"/>
    <n v="18"/>
    <n v="284.39999999999998"/>
  </r>
  <r>
    <x v="0"/>
    <x v="4"/>
    <x v="5"/>
    <x v="125"/>
    <x v="3"/>
    <n v="29.9"/>
    <n v="6"/>
    <n v="179.4"/>
  </r>
  <r>
    <x v="4"/>
    <x v="2"/>
    <x v="3"/>
    <x v="90"/>
    <x v="5"/>
    <n v="49.5"/>
    <n v="16"/>
    <n v="792"/>
  </r>
  <r>
    <x v="2"/>
    <x v="0"/>
    <x v="3"/>
    <x v="25"/>
    <x v="0"/>
    <n v="15.8"/>
    <n v="9"/>
    <n v="142.19999999999999"/>
  </r>
  <r>
    <x v="0"/>
    <x v="3"/>
    <x v="5"/>
    <x v="27"/>
    <x v="3"/>
    <n v="29.9"/>
    <n v="24"/>
    <n v="717.6"/>
  </r>
  <r>
    <x v="0"/>
    <x v="6"/>
    <x v="1"/>
    <x v="0"/>
    <x v="0"/>
    <n v="15.8"/>
    <n v="22"/>
    <n v="347.6"/>
  </r>
  <r>
    <x v="1"/>
    <x v="2"/>
    <x v="5"/>
    <x v="145"/>
    <x v="0"/>
    <n v="15.8"/>
    <n v="14"/>
    <n v="221.2"/>
  </r>
  <r>
    <x v="0"/>
    <x v="0"/>
    <x v="2"/>
    <x v="57"/>
    <x v="3"/>
    <n v="29.9"/>
    <n v="7"/>
    <n v="209.3"/>
  </r>
  <r>
    <x v="0"/>
    <x v="9"/>
    <x v="4"/>
    <x v="146"/>
    <x v="4"/>
    <n v="9.8000000000000007"/>
    <n v="21"/>
    <n v="205.8"/>
  </r>
  <r>
    <x v="1"/>
    <x v="4"/>
    <x v="0"/>
    <x v="144"/>
    <x v="3"/>
    <n v="29.9"/>
    <n v="5"/>
    <n v="149.5"/>
  </r>
  <r>
    <x v="1"/>
    <x v="5"/>
    <x v="2"/>
    <x v="83"/>
    <x v="0"/>
    <n v="15.8"/>
    <n v="26"/>
    <n v="410.8"/>
  </r>
  <r>
    <x v="0"/>
    <x v="2"/>
    <x v="3"/>
    <x v="7"/>
    <x v="1"/>
    <n v="19.899999999999999"/>
    <n v="21"/>
    <n v="417.9"/>
  </r>
  <r>
    <x v="1"/>
    <x v="2"/>
    <x v="1"/>
    <x v="97"/>
    <x v="5"/>
    <n v="49.5"/>
    <n v="25"/>
    <n v="1237.5"/>
  </r>
  <r>
    <x v="4"/>
    <x v="5"/>
    <x v="3"/>
    <x v="53"/>
    <x v="5"/>
    <n v="49.5"/>
    <n v="16"/>
    <n v="792"/>
  </r>
  <r>
    <x v="2"/>
    <x v="7"/>
    <x v="0"/>
    <x v="84"/>
    <x v="4"/>
    <n v="9.8000000000000007"/>
    <n v="29"/>
    <n v="284.2"/>
  </r>
  <r>
    <x v="3"/>
    <x v="10"/>
    <x v="1"/>
    <x v="128"/>
    <x v="2"/>
    <n v="14.9"/>
    <n v="25"/>
    <n v="372.5"/>
  </r>
  <r>
    <x v="2"/>
    <x v="1"/>
    <x v="5"/>
    <x v="147"/>
    <x v="0"/>
    <n v="15.8"/>
    <n v="7"/>
    <n v="110.6"/>
  </r>
  <r>
    <x v="4"/>
    <x v="0"/>
    <x v="3"/>
    <x v="148"/>
    <x v="0"/>
    <n v="15.8"/>
    <n v="6"/>
    <n v="94.8"/>
  </r>
  <r>
    <x v="3"/>
    <x v="3"/>
    <x v="4"/>
    <x v="108"/>
    <x v="3"/>
    <n v="29.9"/>
    <n v="13"/>
    <n v="388.7"/>
  </r>
  <r>
    <x v="0"/>
    <x v="1"/>
    <x v="2"/>
    <x v="136"/>
    <x v="5"/>
    <n v="49.5"/>
    <n v="25"/>
    <n v="1237.5"/>
  </r>
  <r>
    <x v="3"/>
    <x v="3"/>
    <x v="1"/>
    <x v="119"/>
    <x v="3"/>
    <n v="29.9"/>
    <n v="28"/>
    <n v="837.2"/>
  </r>
  <r>
    <x v="4"/>
    <x v="8"/>
    <x v="3"/>
    <x v="12"/>
    <x v="4"/>
    <n v="9.8000000000000007"/>
    <n v="20"/>
    <n v="196"/>
  </r>
  <r>
    <x v="3"/>
    <x v="2"/>
    <x v="3"/>
    <x v="117"/>
    <x v="5"/>
    <n v="49.5"/>
    <n v="18"/>
    <n v="891"/>
  </r>
  <r>
    <x v="1"/>
    <x v="10"/>
    <x v="4"/>
    <x v="136"/>
    <x v="5"/>
    <n v="49.5"/>
    <n v="7"/>
    <n v="346.5"/>
  </r>
  <r>
    <x v="3"/>
    <x v="1"/>
    <x v="3"/>
    <x v="111"/>
    <x v="1"/>
    <n v="19.899999999999999"/>
    <n v="27"/>
    <n v="537.29999999999995"/>
  </r>
  <r>
    <x v="4"/>
    <x v="10"/>
    <x v="0"/>
    <x v="115"/>
    <x v="3"/>
    <n v="29.9"/>
    <n v="6"/>
    <n v="179.4"/>
  </r>
  <r>
    <x v="3"/>
    <x v="11"/>
    <x v="5"/>
    <x v="6"/>
    <x v="5"/>
    <n v="49.5"/>
    <n v="26"/>
    <n v="1287"/>
  </r>
  <r>
    <x v="4"/>
    <x v="5"/>
    <x v="4"/>
    <x v="80"/>
    <x v="0"/>
    <n v="15.8"/>
    <n v="24"/>
    <n v="379.2"/>
  </r>
  <r>
    <x v="4"/>
    <x v="0"/>
    <x v="2"/>
    <x v="14"/>
    <x v="4"/>
    <n v="9.8000000000000007"/>
    <n v="16"/>
    <n v="156.80000000000001"/>
  </r>
  <r>
    <x v="3"/>
    <x v="8"/>
    <x v="4"/>
    <x v="100"/>
    <x v="0"/>
    <n v="15.8"/>
    <n v="26"/>
    <n v="410.8"/>
  </r>
  <r>
    <x v="4"/>
    <x v="5"/>
    <x v="3"/>
    <x v="134"/>
    <x v="1"/>
    <n v="19.899999999999999"/>
    <n v="9"/>
    <n v="179.1"/>
  </r>
  <r>
    <x v="1"/>
    <x v="5"/>
    <x v="5"/>
    <x v="44"/>
    <x v="0"/>
    <n v="15.8"/>
    <n v="8"/>
    <n v="126.4"/>
  </r>
  <r>
    <x v="0"/>
    <x v="7"/>
    <x v="2"/>
    <x v="149"/>
    <x v="3"/>
    <n v="29.9"/>
    <n v="22"/>
    <n v="657.8"/>
  </r>
  <r>
    <x v="0"/>
    <x v="3"/>
    <x v="3"/>
    <x v="68"/>
    <x v="1"/>
    <n v="19.899999999999999"/>
    <n v="14"/>
    <n v="278.60000000000002"/>
  </r>
  <r>
    <x v="4"/>
    <x v="4"/>
    <x v="1"/>
    <x v="123"/>
    <x v="3"/>
    <n v="29.9"/>
    <n v="10"/>
    <n v="299"/>
  </r>
  <r>
    <x v="4"/>
    <x v="6"/>
    <x v="0"/>
    <x v="74"/>
    <x v="4"/>
    <n v="9.8000000000000007"/>
    <n v="7"/>
    <n v="68.599999999999994"/>
  </r>
  <r>
    <x v="1"/>
    <x v="2"/>
    <x v="3"/>
    <x v="150"/>
    <x v="4"/>
    <n v="9.8000000000000007"/>
    <n v="27"/>
    <n v="264.60000000000002"/>
  </r>
  <r>
    <x v="2"/>
    <x v="5"/>
    <x v="4"/>
    <x v="9"/>
    <x v="0"/>
    <n v="15.8"/>
    <n v="30"/>
    <n v="474"/>
  </r>
  <r>
    <x v="2"/>
    <x v="4"/>
    <x v="5"/>
    <x v="53"/>
    <x v="1"/>
    <n v="19.899999999999999"/>
    <n v="23"/>
    <n v="457.7"/>
  </r>
  <r>
    <x v="3"/>
    <x v="9"/>
    <x v="4"/>
    <x v="151"/>
    <x v="5"/>
    <n v="49.5"/>
    <n v="7"/>
    <n v="346.5"/>
  </r>
  <r>
    <x v="3"/>
    <x v="8"/>
    <x v="0"/>
    <x v="149"/>
    <x v="3"/>
    <n v="29.9"/>
    <n v="29"/>
    <n v="867.1"/>
  </r>
  <r>
    <x v="4"/>
    <x v="11"/>
    <x v="1"/>
    <x v="152"/>
    <x v="4"/>
    <n v="9.8000000000000007"/>
    <n v="7"/>
    <n v="68.599999999999994"/>
  </r>
  <r>
    <x v="4"/>
    <x v="9"/>
    <x v="0"/>
    <x v="91"/>
    <x v="0"/>
    <n v="15.8"/>
    <n v="29"/>
    <n v="458.2"/>
  </r>
  <r>
    <x v="1"/>
    <x v="1"/>
    <x v="4"/>
    <x v="120"/>
    <x v="3"/>
    <n v="29.9"/>
    <n v="21"/>
    <n v="627.9"/>
  </r>
  <r>
    <x v="0"/>
    <x v="6"/>
    <x v="4"/>
    <x v="144"/>
    <x v="0"/>
    <n v="15.8"/>
    <n v="10"/>
    <n v="158"/>
  </r>
  <r>
    <x v="3"/>
    <x v="7"/>
    <x v="2"/>
    <x v="128"/>
    <x v="2"/>
    <n v="14.9"/>
    <n v="7"/>
    <n v="104.3"/>
  </r>
  <r>
    <x v="3"/>
    <x v="4"/>
    <x v="0"/>
    <x v="153"/>
    <x v="0"/>
    <n v="15.8"/>
    <n v="25"/>
    <n v="395"/>
  </r>
  <r>
    <x v="3"/>
    <x v="11"/>
    <x v="4"/>
    <x v="7"/>
    <x v="4"/>
    <n v="9.8000000000000007"/>
    <n v="10"/>
    <n v="98"/>
  </r>
  <r>
    <x v="1"/>
    <x v="11"/>
    <x v="2"/>
    <x v="154"/>
    <x v="4"/>
    <n v="9.8000000000000007"/>
    <n v="24"/>
    <n v="235.2"/>
  </r>
  <r>
    <x v="3"/>
    <x v="11"/>
    <x v="1"/>
    <x v="105"/>
    <x v="5"/>
    <n v="49.5"/>
    <n v="25"/>
    <n v="1237.5"/>
  </r>
  <r>
    <x v="1"/>
    <x v="3"/>
    <x v="0"/>
    <x v="155"/>
    <x v="3"/>
    <n v="29.9"/>
    <n v="24"/>
    <n v="717.6"/>
  </r>
  <r>
    <x v="0"/>
    <x v="9"/>
    <x v="0"/>
    <x v="153"/>
    <x v="4"/>
    <n v="9.8000000000000007"/>
    <n v="14"/>
    <n v="137.19999999999999"/>
  </r>
  <r>
    <x v="4"/>
    <x v="4"/>
    <x v="0"/>
    <x v="103"/>
    <x v="3"/>
    <n v="29.9"/>
    <n v="7"/>
    <n v="209.3"/>
  </r>
  <r>
    <x v="0"/>
    <x v="10"/>
    <x v="5"/>
    <x v="113"/>
    <x v="3"/>
    <n v="29.9"/>
    <n v="11"/>
    <n v="328.9"/>
  </r>
  <r>
    <x v="3"/>
    <x v="11"/>
    <x v="2"/>
    <x v="74"/>
    <x v="4"/>
    <n v="9.8000000000000007"/>
    <n v="16"/>
    <n v="156.80000000000001"/>
  </r>
  <r>
    <x v="4"/>
    <x v="10"/>
    <x v="3"/>
    <x v="124"/>
    <x v="5"/>
    <n v="49.5"/>
    <n v="15"/>
    <n v="742.5"/>
  </r>
  <r>
    <x v="2"/>
    <x v="9"/>
    <x v="1"/>
    <x v="35"/>
    <x v="0"/>
    <n v="15.8"/>
    <n v="9"/>
    <n v="142.19999999999999"/>
  </r>
  <r>
    <x v="0"/>
    <x v="0"/>
    <x v="3"/>
    <x v="76"/>
    <x v="3"/>
    <n v="29.9"/>
    <n v="12"/>
    <n v="358.8"/>
  </r>
  <r>
    <x v="2"/>
    <x v="5"/>
    <x v="4"/>
    <x v="52"/>
    <x v="0"/>
    <n v="15.8"/>
    <n v="20"/>
    <n v="316"/>
  </r>
  <r>
    <x v="1"/>
    <x v="9"/>
    <x v="5"/>
    <x v="111"/>
    <x v="5"/>
    <n v="49.5"/>
    <n v="7"/>
    <n v="346.5"/>
  </r>
  <r>
    <x v="4"/>
    <x v="2"/>
    <x v="5"/>
    <x v="156"/>
    <x v="1"/>
    <n v="19.899999999999999"/>
    <n v="16"/>
    <n v="318.39999999999998"/>
  </r>
  <r>
    <x v="0"/>
    <x v="0"/>
    <x v="3"/>
    <x v="157"/>
    <x v="4"/>
    <n v="9.8000000000000007"/>
    <n v="26"/>
    <n v="254.8"/>
  </r>
  <r>
    <x v="4"/>
    <x v="3"/>
    <x v="4"/>
    <x v="105"/>
    <x v="3"/>
    <n v="29.9"/>
    <n v="9"/>
    <n v="269.10000000000002"/>
  </r>
  <r>
    <x v="3"/>
    <x v="7"/>
    <x v="3"/>
    <x v="17"/>
    <x v="5"/>
    <n v="49.5"/>
    <n v="17"/>
    <n v="841.5"/>
  </r>
  <r>
    <x v="0"/>
    <x v="11"/>
    <x v="4"/>
    <x v="92"/>
    <x v="1"/>
    <n v="19.899999999999999"/>
    <n v="14"/>
    <n v="278.60000000000002"/>
  </r>
  <r>
    <x v="0"/>
    <x v="8"/>
    <x v="4"/>
    <x v="54"/>
    <x v="2"/>
    <n v="14.9"/>
    <n v="24"/>
    <n v="357.6"/>
  </r>
  <r>
    <x v="1"/>
    <x v="6"/>
    <x v="2"/>
    <x v="158"/>
    <x v="2"/>
    <n v="14.9"/>
    <n v="30"/>
    <n v="447"/>
  </r>
  <r>
    <x v="3"/>
    <x v="2"/>
    <x v="3"/>
    <x v="81"/>
    <x v="1"/>
    <n v="19.899999999999999"/>
    <n v="21"/>
    <n v="417.9"/>
  </r>
  <r>
    <x v="4"/>
    <x v="2"/>
    <x v="1"/>
    <x v="95"/>
    <x v="0"/>
    <n v="15.8"/>
    <n v="27"/>
    <n v="426.6"/>
  </r>
  <r>
    <x v="3"/>
    <x v="9"/>
    <x v="4"/>
    <x v="78"/>
    <x v="1"/>
    <n v="19.899999999999999"/>
    <n v="21"/>
    <n v="417.9"/>
  </r>
  <r>
    <x v="2"/>
    <x v="5"/>
    <x v="4"/>
    <x v="96"/>
    <x v="3"/>
    <n v="29.9"/>
    <n v="24"/>
    <n v="717.6"/>
  </r>
  <r>
    <x v="3"/>
    <x v="11"/>
    <x v="3"/>
    <x v="124"/>
    <x v="1"/>
    <n v="19.899999999999999"/>
    <n v="20"/>
    <n v="398"/>
  </r>
  <r>
    <x v="1"/>
    <x v="3"/>
    <x v="5"/>
    <x v="53"/>
    <x v="2"/>
    <n v="14.9"/>
    <n v="26"/>
    <n v="387.4"/>
  </r>
  <r>
    <x v="0"/>
    <x v="8"/>
    <x v="4"/>
    <x v="118"/>
    <x v="1"/>
    <n v="19.899999999999999"/>
    <n v="20"/>
    <n v="398"/>
  </r>
  <r>
    <x v="3"/>
    <x v="1"/>
    <x v="4"/>
    <x v="29"/>
    <x v="4"/>
    <n v="9.8000000000000007"/>
    <n v="6"/>
    <n v="58.8"/>
  </r>
  <r>
    <x v="1"/>
    <x v="9"/>
    <x v="2"/>
    <x v="93"/>
    <x v="3"/>
    <n v="29.9"/>
    <n v="9"/>
    <n v="269.10000000000002"/>
  </r>
  <r>
    <x v="2"/>
    <x v="0"/>
    <x v="4"/>
    <x v="122"/>
    <x v="5"/>
    <n v="49.5"/>
    <n v="19"/>
    <n v="940.5"/>
  </r>
  <r>
    <x v="3"/>
    <x v="8"/>
    <x v="2"/>
    <x v="28"/>
    <x v="3"/>
    <n v="29.9"/>
    <n v="21"/>
    <n v="627.9"/>
  </r>
  <r>
    <x v="1"/>
    <x v="9"/>
    <x v="0"/>
    <x v="159"/>
    <x v="1"/>
    <n v="19.899999999999999"/>
    <n v="11"/>
    <n v="218.9"/>
  </r>
  <r>
    <x v="1"/>
    <x v="5"/>
    <x v="0"/>
    <x v="149"/>
    <x v="3"/>
    <n v="29.9"/>
    <n v="15"/>
    <n v="448.5"/>
  </r>
  <r>
    <x v="2"/>
    <x v="9"/>
    <x v="4"/>
    <x v="75"/>
    <x v="2"/>
    <n v="14.9"/>
    <n v="26"/>
    <n v="387.4"/>
  </r>
  <r>
    <x v="3"/>
    <x v="11"/>
    <x v="5"/>
    <x v="2"/>
    <x v="2"/>
    <n v="14.9"/>
    <n v="22"/>
    <n v="327.8"/>
  </r>
  <r>
    <x v="3"/>
    <x v="4"/>
    <x v="3"/>
    <x v="160"/>
    <x v="4"/>
    <n v="9.8000000000000007"/>
    <n v="27"/>
    <n v="264.60000000000002"/>
  </r>
  <r>
    <x v="4"/>
    <x v="5"/>
    <x v="5"/>
    <x v="128"/>
    <x v="4"/>
    <n v="9.8000000000000007"/>
    <n v="13"/>
    <n v="127.4"/>
  </r>
  <r>
    <x v="3"/>
    <x v="6"/>
    <x v="4"/>
    <x v="3"/>
    <x v="3"/>
    <n v="29.9"/>
    <n v="16"/>
    <n v="478.4"/>
  </r>
  <r>
    <x v="2"/>
    <x v="3"/>
    <x v="1"/>
    <x v="50"/>
    <x v="2"/>
    <n v="14.9"/>
    <n v="19"/>
    <n v="283.10000000000002"/>
  </r>
  <r>
    <x v="3"/>
    <x v="7"/>
    <x v="5"/>
    <x v="2"/>
    <x v="1"/>
    <n v="19.899999999999999"/>
    <n v="13"/>
    <n v="258.7"/>
  </r>
  <r>
    <x v="1"/>
    <x v="7"/>
    <x v="3"/>
    <x v="123"/>
    <x v="1"/>
    <n v="19.899999999999999"/>
    <n v="28"/>
    <n v="557.20000000000005"/>
  </r>
  <r>
    <x v="1"/>
    <x v="4"/>
    <x v="2"/>
    <x v="36"/>
    <x v="0"/>
    <n v="15.8"/>
    <n v="25"/>
    <n v="395"/>
  </r>
  <r>
    <x v="2"/>
    <x v="0"/>
    <x v="1"/>
    <x v="33"/>
    <x v="4"/>
    <n v="9.8000000000000007"/>
    <n v="20"/>
    <n v="196"/>
  </r>
  <r>
    <x v="0"/>
    <x v="1"/>
    <x v="2"/>
    <x v="161"/>
    <x v="0"/>
    <n v="15.8"/>
    <n v="18"/>
    <n v="284.39999999999998"/>
  </r>
  <r>
    <x v="4"/>
    <x v="9"/>
    <x v="0"/>
    <x v="64"/>
    <x v="2"/>
    <n v="14.9"/>
    <n v="14"/>
    <n v="208.6"/>
  </r>
  <r>
    <x v="0"/>
    <x v="6"/>
    <x v="0"/>
    <x v="29"/>
    <x v="1"/>
    <n v="19.899999999999999"/>
    <n v="28"/>
    <n v="557.20000000000005"/>
  </r>
  <r>
    <x v="0"/>
    <x v="10"/>
    <x v="5"/>
    <x v="80"/>
    <x v="3"/>
    <n v="29.9"/>
    <n v="30"/>
    <n v="897"/>
  </r>
  <r>
    <x v="4"/>
    <x v="10"/>
    <x v="0"/>
    <x v="118"/>
    <x v="5"/>
    <n v="49.5"/>
    <n v="14"/>
    <n v="693"/>
  </r>
  <r>
    <x v="1"/>
    <x v="11"/>
    <x v="1"/>
    <x v="44"/>
    <x v="3"/>
    <n v="29.9"/>
    <n v="25"/>
    <n v="747.5"/>
  </r>
  <r>
    <x v="1"/>
    <x v="2"/>
    <x v="5"/>
    <x v="162"/>
    <x v="3"/>
    <n v="29.9"/>
    <n v="13"/>
    <n v="388.7"/>
  </r>
  <r>
    <x v="2"/>
    <x v="6"/>
    <x v="3"/>
    <x v="12"/>
    <x v="4"/>
    <n v="9.8000000000000007"/>
    <n v="13"/>
    <n v="127.4"/>
  </r>
  <r>
    <x v="2"/>
    <x v="0"/>
    <x v="0"/>
    <x v="44"/>
    <x v="1"/>
    <n v="19.899999999999999"/>
    <n v="26"/>
    <n v="517.4"/>
  </r>
  <r>
    <x v="2"/>
    <x v="10"/>
    <x v="4"/>
    <x v="163"/>
    <x v="1"/>
    <n v="19.899999999999999"/>
    <n v="15"/>
    <n v="298.5"/>
  </r>
  <r>
    <x v="0"/>
    <x v="8"/>
    <x v="0"/>
    <x v="82"/>
    <x v="0"/>
    <n v="15.8"/>
    <n v="20"/>
    <n v="316"/>
  </r>
  <r>
    <x v="3"/>
    <x v="4"/>
    <x v="1"/>
    <x v="164"/>
    <x v="0"/>
    <n v="15.8"/>
    <n v="19"/>
    <n v="300.2"/>
  </r>
  <r>
    <x v="3"/>
    <x v="5"/>
    <x v="3"/>
    <x v="133"/>
    <x v="5"/>
    <n v="49.5"/>
    <n v="13"/>
    <n v="643.5"/>
  </r>
  <r>
    <x v="3"/>
    <x v="7"/>
    <x v="2"/>
    <x v="18"/>
    <x v="3"/>
    <n v="29.9"/>
    <n v="14"/>
    <n v="418.6"/>
  </r>
  <r>
    <x v="2"/>
    <x v="8"/>
    <x v="0"/>
    <x v="165"/>
    <x v="4"/>
    <n v="9.8000000000000007"/>
    <n v="8"/>
    <n v="78.400000000000006"/>
  </r>
  <r>
    <x v="3"/>
    <x v="5"/>
    <x v="4"/>
    <x v="156"/>
    <x v="0"/>
    <n v="15.8"/>
    <n v="20"/>
    <n v="316"/>
  </r>
  <r>
    <x v="2"/>
    <x v="9"/>
    <x v="0"/>
    <x v="65"/>
    <x v="3"/>
    <n v="29.9"/>
    <n v="27"/>
    <n v="807.3"/>
  </r>
  <r>
    <x v="1"/>
    <x v="9"/>
    <x v="4"/>
    <x v="2"/>
    <x v="4"/>
    <n v="9.8000000000000007"/>
    <n v="29"/>
    <n v="284.2"/>
  </r>
  <r>
    <x v="1"/>
    <x v="6"/>
    <x v="4"/>
    <x v="54"/>
    <x v="4"/>
    <n v="9.8000000000000007"/>
    <n v="16"/>
    <n v="156.80000000000001"/>
  </r>
  <r>
    <x v="0"/>
    <x v="11"/>
    <x v="1"/>
    <x v="36"/>
    <x v="1"/>
    <n v="19.899999999999999"/>
    <n v="11"/>
    <n v="218.9"/>
  </r>
  <r>
    <x v="1"/>
    <x v="2"/>
    <x v="2"/>
    <x v="10"/>
    <x v="1"/>
    <n v="19.899999999999999"/>
    <n v="19"/>
    <n v="378.1"/>
  </r>
  <r>
    <x v="0"/>
    <x v="1"/>
    <x v="2"/>
    <x v="41"/>
    <x v="5"/>
    <n v="49.5"/>
    <n v="21"/>
    <n v="1039.5"/>
  </r>
  <r>
    <x v="4"/>
    <x v="0"/>
    <x v="5"/>
    <x v="162"/>
    <x v="3"/>
    <n v="29.9"/>
    <n v="19"/>
    <n v="568.1"/>
  </r>
  <r>
    <x v="1"/>
    <x v="0"/>
    <x v="4"/>
    <x v="73"/>
    <x v="4"/>
    <n v="9.8000000000000007"/>
    <n v="5"/>
    <n v="49"/>
  </r>
  <r>
    <x v="4"/>
    <x v="3"/>
    <x v="1"/>
    <x v="155"/>
    <x v="5"/>
    <n v="49.5"/>
    <n v="6"/>
    <n v="297"/>
  </r>
  <r>
    <x v="4"/>
    <x v="5"/>
    <x v="0"/>
    <x v="7"/>
    <x v="5"/>
    <n v="49.5"/>
    <n v="7"/>
    <n v="346.5"/>
  </r>
  <r>
    <x v="4"/>
    <x v="0"/>
    <x v="3"/>
    <x v="87"/>
    <x v="0"/>
    <n v="15.8"/>
    <n v="29"/>
    <n v="458.2"/>
  </r>
  <r>
    <x v="4"/>
    <x v="5"/>
    <x v="5"/>
    <x v="110"/>
    <x v="3"/>
    <n v="29.9"/>
    <n v="7"/>
    <n v="209.3"/>
  </r>
  <r>
    <x v="1"/>
    <x v="10"/>
    <x v="0"/>
    <x v="85"/>
    <x v="0"/>
    <n v="15.8"/>
    <n v="22"/>
    <n v="347.6"/>
  </r>
  <r>
    <x v="4"/>
    <x v="2"/>
    <x v="2"/>
    <x v="60"/>
    <x v="5"/>
    <n v="49.5"/>
    <n v="14"/>
    <n v="693"/>
  </r>
  <r>
    <x v="4"/>
    <x v="1"/>
    <x v="0"/>
    <x v="3"/>
    <x v="1"/>
    <n v="19.899999999999999"/>
    <n v="17"/>
    <n v="338.3"/>
  </r>
  <r>
    <x v="2"/>
    <x v="4"/>
    <x v="5"/>
    <x v="94"/>
    <x v="2"/>
    <n v="14.9"/>
    <n v="11"/>
    <n v="163.9"/>
  </r>
  <r>
    <x v="0"/>
    <x v="0"/>
    <x v="0"/>
    <x v="57"/>
    <x v="5"/>
    <n v="49.5"/>
    <n v="12"/>
    <n v="594"/>
  </r>
  <r>
    <x v="2"/>
    <x v="6"/>
    <x v="1"/>
    <x v="104"/>
    <x v="3"/>
    <n v="29.9"/>
    <n v="24"/>
    <n v="717.6"/>
  </r>
  <r>
    <x v="0"/>
    <x v="4"/>
    <x v="0"/>
    <x v="166"/>
    <x v="3"/>
    <n v="29.9"/>
    <n v="12"/>
    <n v="358.8"/>
  </r>
  <r>
    <x v="1"/>
    <x v="4"/>
    <x v="1"/>
    <x v="162"/>
    <x v="2"/>
    <n v="14.9"/>
    <n v="12"/>
    <n v="178.8"/>
  </r>
  <r>
    <x v="1"/>
    <x v="5"/>
    <x v="4"/>
    <x v="65"/>
    <x v="0"/>
    <n v="15.8"/>
    <n v="14"/>
    <n v="221.2"/>
  </r>
  <r>
    <x v="2"/>
    <x v="1"/>
    <x v="4"/>
    <x v="90"/>
    <x v="2"/>
    <n v="14.9"/>
    <n v="13"/>
    <n v="193.7"/>
  </r>
  <r>
    <x v="0"/>
    <x v="2"/>
    <x v="4"/>
    <x v="4"/>
    <x v="1"/>
    <n v="19.899999999999999"/>
    <n v="20"/>
    <n v="398"/>
  </r>
  <r>
    <x v="0"/>
    <x v="5"/>
    <x v="0"/>
    <x v="108"/>
    <x v="2"/>
    <n v="14.9"/>
    <n v="27"/>
    <n v="402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D838D5-9BCC-D146-BC0A-D07427E984A1}" name="数据透视表12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6">
  <location ref="V4:W9" firstHeaderRow="1" firstDataRow="1" firstDataCol="1"/>
  <pivotFields count="8">
    <pivotField showAll="0">
      <items count="6">
        <item h="1" x="0"/>
        <item h="1" x="2"/>
        <item h="1" x="3"/>
        <item h="1" x="4"/>
        <item x="1"/>
        <item t="default"/>
      </items>
    </pivotField>
    <pivotField showAll="0">
      <items count="13">
        <item x="0"/>
        <item x="6"/>
        <item x="10"/>
        <item x="4"/>
        <item x="3"/>
        <item x="5"/>
        <item x="8"/>
        <item x="9"/>
        <item x="2"/>
        <item x="11"/>
        <item x="1"/>
        <item x="7"/>
        <item t="default"/>
      </items>
    </pivotField>
    <pivotField axis="axisRow" showAll="0">
      <items count="7">
        <item h="1" x="1"/>
        <item x="4"/>
        <item h="1" x="0"/>
        <item x="5"/>
        <item x="2"/>
        <item x="3"/>
        <item t="default"/>
      </items>
    </pivotField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numFmtId="176" showAll="0"/>
    <pivotField showAll="0"/>
    <pivotField dataField="1" numFmtId="176" showAll="0"/>
  </pivotFields>
  <rowFields count="1">
    <field x="2"/>
  </rowFields>
  <rowItems count="5">
    <i>
      <x v="1"/>
    </i>
    <i>
      <x v="3"/>
    </i>
    <i>
      <x v="4"/>
    </i>
    <i>
      <x v="5"/>
    </i>
    <i t="grand">
      <x/>
    </i>
  </rowItems>
  <colItems count="1">
    <i/>
  </colItems>
  <dataFields count="1">
    <dataField name="求和项:Revenue" fld="7" baseField="0" baseItem="0" numFmtId="181"/>
  </dataFields>
  <formats count="2">
    <format dxfId="260">
      <pivotArea outline="0" collapsedLevelsAreSubtotals="1" fieldPosition="0"/>
    </format>
    <format dxfId="257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23E8C1-5242-D845-A434-0EE1CE6173ED}" name="数据透视表11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5">
  <location ref="S4:T15" firstHeaderRow="1" firstDataRow="1" firstDataCol="1"/>
  <pivotFields count="8">
    <pivotField showAll="0">
      <items count="6">
        <item h="1" x="0"/>
        <item h="1" x="2"/>
        <item h="1" x="3"/>
        <item h="1" x="4"/>
        <item x="1"/>
        <item t="default"/>
      </items>
    </pivotField>
    <pivotField showAll="0">
      <items count="13">
        <item x="0"/>
        <item x="6"/>
        <item x="10"/>
        <item x="4"/>
        <item x="3"/>
        <item x="5"/>
        <item x="8"/>
        <item x="9"/>
        <item x="2"/>
        <item x="11"/>
        <item x="1"/>
        <item x="7"/>
        <item t="default"/>
      </items>
    </pivotField>
    <pivotField showAll="0">
      <items count="7">
        <item h="1" x="1"/>
        <item x="4"/>
        <item h="1" x="0"/>
        <item x="5"/>
        <item x="2"/>
        <item x="3"/>
        <item t="default"/>
      </items>
    </pivotField>
    <pivotField axis="axisRow" showAll="0" measureFilter="1" sortType="descending">
      <items count="168">
        <item x="71"/>
        <item x="39"/>
        <item x="51"/>
        <item x="62"/>
        <item x="24"/>
        <item x="146"/>
        <item x="153"/>
        <item x="1"/>
        <item x="3"/>
        <item x="47"/>
        <item x="154"/>
        <item x="12"/>
        <item x="120"/>
        <item x="10"/>
        <item x="80"/>
        <item x="126"/>
        <item x="4"/>
        <item x="133"/>
        <item x="41"/>
        <item x="40"/>
        <item x="79"/>
        <item x="98"/>
        <item x="83"/>
        <item x="29"/>
        <item x="84"/>
        <item x="82"/>
        <item x="25"/>
        <item x="137"/>
        <item x="34"/>
        <item x="145"/>
        <item x="5"/>
        <item x="158"/>
        <item x="122"/>
        <item x="11"/>
        <item x="107"/>
        <item x="42"/>
        <item x="7"/>
        <item x="46"/>
        <item x="61"/>
        <item x="26"/>
        <item x="117"/>
        <item x="14"/>
        <item x="127"/>
        <item x="32"/>
        <item x="70"/>
        <item x="48"/>
        <item x="16"/>
        <item x="60"/>
        <item x="59"/>
        <item x="9"/>
        <item x="90"/>
        <item x="156"/>
        <item x="155"/>
        <item x="130"/>
        <item x="92"/>
        <item x="148"/>
        <item x="64"/>
        <item x="8"/>
        <item x="66"/>
        <item x="2"/>
        <item x="99"/>
        <item x="135"/>
        <item x="138"/>
        <item x="65"/>
        <item x="104"/>
        <item x="89"/>
        <item x="19"/>
        <item x="88"/>
        <item x="112"/>
        <item x="132"/>
        <item x="53"/>
        <item x="161"/>
        <item x="129"/>
        <item x="22"/>
        <item x="105"/>
        <item x="38"/>
        <item x="116"/>
        <item x="96"/>
        <item x="74"/>
        <item x="75"/>
        <item x="13"/>
        <item x="44"/>
        <item x="109"/>
        <item x="63"/>
        <item x="52"/>
        <item x="151"/>
        <item x="27"/>
        <item x="152"/>
        <item x="162"/>
        <item x="144"/>
        <item x="123"/>
        <item x="55"/>
        <item x="81"/>
        <item x="76"/>
        <item x="97"/>
        <item x="45"/>
        <item x="17"/>
        <item x="108"/>
        <item x="103"/>
        <item x="43"/>
        <item x="163"/>
        <item x="114"/>
        <item x="106"/>
        <item x="35"/>
        <item x="21"/>
        <item x="20"/>
        <item x="6"/>
        <item x="101"/>
        <item x="164"/>
        <item x="0"/>
        <item x="94"/>
        <item x="128"/>
        <item x="125"/>
        <item x="142"/>
        <item x="85"/>
        <item x="119"/>
        <item x="56"/>
        <item x="139"/>
        <item x="141"/>
        <item x="78"/>
        <item x="115"/>
        <item x="54"/>
        <item x="143"/>
        <item x="73"/>
        <item x="134"/>
        <item x="110"/>
        <item x="68"/>
        <item x="100"/>
        <item x="159"/>
        <item x="30"/>
        <item x="36"/>
        <item x="95"/>
        <item x="18"/>
        <item x="166"/>
        <item x="69"/>
        <item x="49"/>
        <item x="111"/>
        <item x="150"/>
        <item x="136"/>
        <item x="23"/>
        <item x="118"/>
        <item x="50"/>
        <item x="67"/>
        <item x="160"/>
        <item x="93"/>
        <item x="140"/>
        <item x="91"/>
        <item x="124"/>
        <item x="165"/>
        <item x="72"/>
        <item x="157"/>
        <item x="37"/>
        <item x="147"/>
        <item x="149"/>
        <item x="77"/>
        <item x="86"/>
        <item x="15"/>
        <item x="31"/>
        <item x="57"/>
        <item x="113"/>
        <item x="87"/>
        <item x="33"/>
        <item x="131"/>
        <item x="58"/>
        <item x="121"/>
        <item x="102"/>
        <item x="2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7">
        <item x="5"/>
        <item x="1"/>
        <item x="3"/>
        <item x="0"/>
        <item x="2"/>
        <item x="4"/>
        <item t="default"/>
      </items>
    </pivotField>
    <pivotField numFmtId="176" showAll="0"/>
    <pivotField showAll="0"/>
    <pivotField dataField="1" numFmtId="176" showAll="0"/>
  </pivotFields>
  <rowFields count="1">
    <field x="3"/>
  </rowFields>
  <rowItems count="11">
    <i>
      <x v="114"/>
    </i>
    <i>
      <x v="102"/>
    </i>
    <i>
      <x v="105"/>
    </i>
    <i>
      <x v="57"/>
    </i>
    <i>
      <x v="81"/>
    </i>
    <i>
      <x v="94"/>
    </i>
    <i>
      <x v="22"/>
    </i>
    <i>
      <x v="12"/>
    </i>
    <i>
      <x v="70"/>
    </i>
    <i>
      <x v="90"/>
    </i>
    <i t="grand">
      <x/>
    </i>
  </rowItems>
  <colItems count="1">
    <i/>
  </colItems>
  <dataFields count="1">
    <dataField name="求和项:Revenue" fld="7" baseField="0" baseItem="0" numFmtId="181"/>
  </dataFields>
  <formats count="2">
    <format dxfId="275">
      <pivotArea outline="0" collapsedLevelsAreSubtotals="1" fieldPosition="0"/>
    </format>
    <format dxfId="272">
      <pivotArea dataOnly="0" labelOnly="1" outline="0" axis="axisValues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0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620CE-153A-C446-A59B-E52C4CB02264}" name="数据透视表10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1">
  <location ref="P4:Q11" firstHeaderRow="1" firstDataRow="1" firstDataCol="1"/>
  <pivotFields count="8">
    <pivotField showAll="0">
      <items count="6">
        <item h="1" x="0"/>
        <item h="1" x="2"/>
        <item h="1" x="3"/>
        <item h="1" x="4"/>
        <item x="1"/>
        <item t="default"/>
      </items>
    </pivotField>
    <pivotField showAll="0">
      <items count="13">
        <item x="0"/>
        <item x="6"/>
        <item x="10"/>
        <item x="4"/>
        <item x="3"/>
        <item x="5"/>
        <item x="8"/>
        <item x="9"/>
        <item x="2"/>
        <item x="11"/>
        <item x="1"/>
        <item x="7"/>
        <item t="default"/>
      </items>
    </pivotField>
    <pivotField showAll="0">
      <items count="7">
        <item h="1" x="1"/>
        <item x="4"/>
        <item h="1" x="0"/>
        <item x="5"/>
        <item x="2"/>
        <item x="3"/>
        <item t="default"/>
      </items>
    </pivotField>
    <pivotField showAll="0"/>
    <pivotField axis="axisRow" showAll="0">
      <items count="7">
        <item x="5"/>
        <item x="1"/>
        <item x="3"/>
        <item x="0"/>
        <item x="2"/>
        <item x="4"/>
        <item t="default"/>
      </items>
    </pivotField>
    <pivotField numFmtId="176" showAll="0"/>
    <pivotField showAll="0"/>
    <pivotField dataField="1" numFmtId="176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求和项:Revenue" fld="7" baseField="0" baseItem="0" numFmtId="181"/>
  </dataFields>
  <formats count="2">
    <format dxfId="290">
      <pivotArea outline="0" collapsedLevelsAreSubtotals="1" fieldPosition="0"/>
    </format>
    <format dxfId="287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016A71-C410-1F43-818D-A3D47C42CCBC}" name="数据透视表8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7">
  <location ref="M4:N18" firstHeaderRow="1" firstDataRow="1" firstDataCol="1"/>
  <pivotFields count="8">
    <pivotField axis="axisRow" showAll="0">
      <items count="6">
        <item h="1" x="0"/>
        <item h="1" x="2"/>
        <item h="1" x="3"/>
        <item h="1" x="4"/>
        <item x="1"/>
        <item t="default"/>
      </items>
    </pivotField>
    <pivotField axis="axisRow" showAll="0">
      <items count="13">
        <item x="0"/>
        <item x="6"/>
        <item x="10"/>
        <item x="4"/>
        <item x="3"/>
        <item x="5"/>
        <item x="8"/>
        <item x="9"/>
        <item x="2"/>
        <item x="11"/>
        <item x="1"/>
        <item x="7"/>
        <item t="default"/>
      </items>
    </pivotField>
    <pivotField showAll="0">
      <items count="7">
        <item h="1" x="1"/>
        <item x="4"/>
        <item h="1" x="0"/>
        <item x="5"/>
        <item x="2"/>
        <item x="3"/>
        <item t="default"/>
      </items>
    </pivotField>
    <pivotField showAll="0"/>
    <pivotField showAll="0"/>
    <pivotField numFmtId="176" showAll="0"/>
    <pivotField showAll="0"/>
    <pivotField dataField="1" numFmtId="176" showAll="0"/>
  </pivotFields>
  <rowFields count="2">
    <field x="0"/>
    <field x="1"/>
  </rowFields>
  <rowItems count="14"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求和项:Revenue" fld="7" baseField="0" baseItem="0" numFmtId="181"/>
  </dataFields>
  <formats count="2">
    <format dxfId="311">
      <pivotArea collapsedLevelsAreSubtotals="1" fieldPosition="0">
        <references count="1">
          <reference field="0" count="0"/>
        </references>
      </pivotArea>
    </format>
    <format dxfId="302">
      <pivotArea outline="0" collapsedLevelsAreSubtotals="1" fieldPosition="0"/>
    </format>
  </formats>
  <chartFormats count="1"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EDF6E-9E28-1742-ABFC-4F036EAA1D7E}" name="数据透视表7" cacheId="22" applyNumberFormats="0" applyBorderFormats="0" applyFontFormats="0" applyPatternFormats="0" applyAlignmentFormats="0" applyWidthHeightFormats="1" dataCaption="值" updatedVersion="8" minRefreshableVersion="3" showDrill="0" useAutoFormatting="1" rowGrandTotals="0" colGrandTotals="0" itemPrintTitles="1" createdVersion="8" indent="0" showHeaders="0" outline="1" outlineData="1" multipleFieldFilters="0" chartFormat="6">
  <location ref="G3:H12" firstHeaderRow="1" firstDataRow="1" firstDataCol="1"/>
  <pivotFields count="8">
    <pivotField showAll="0">
      <items count="6">
        <item h="1" x="0"/>
        <item h="1" x="2"/>
        <item h="1" x="3"/>
        <item h="1" x="4"/>
        <item x="1"/>
        <item t="default"/>
      </items>
    </pivotField>
    <pivotField axis="axisRow" showAll="0">
      <items count="13">
        <item x="0"/>
        <item x="6"/>
        <item x="10"/>
        <item x="4"/>
        <item x="3"/>
        <item x="5"/>
        <item x="8"/>
        <item x="9"/>
        <item x="2"/>
        <item x="11"/>
        <item x="1"/>
        <item x="7"/>
        <item t="default"/>
      </items>
    </pivotField>
    <pivotField axis="axisRow" showAll="0">
      <items count="7">
        <item h="1" x="1"/>
        <item h="1" x="4"/>
        <item h="1" x="0"/>
        <item x="5"/>
        <item h="1" x="2"/>
        <item h="1" x="3"/>
        <item t="default"/>
      </items>
    </pivotField>
    <pivotField showAll="0"/>
    <pivotField showAll="0"/>
    <pivotField numFmtId="176" showAll="0"/>
    <pivotField showAll="0"/>
    <pivotField dataField="1" numFmtId="176" showAll="0"/>
  </pivotFields>
  <rowFields count="2">
    <field x="2"/>
    <field x="1"/>
  </rowFields>
  <rowItems count="9">
    <i>
      <x v="3"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</rowItems>
  <colItems count="1">
    <i/>
  </colItems>
  <dataFields count="1">
    <dataField name="求和项:Revenue" fld="7" baseField="0" baseItem="0" numFmtId="181"/>
  </dataFields>
  <formats count="2">
    <format dxfId="245">
      <pivotArea outline="0" collapsedLevelsAreSubtotals="1" fieldPosition="0"/>
    </format>
    <format dxfId="24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10FFEC-5C0F-6541-8986-5F4D12DCF1C2}" name="数据透视表6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D3:E5" firstHeaderRow="1" firstDataRow="1" firstDataCol="1"/>
  <pivotFields count="8">
    <pivotField showAll="0">
      <items count="6">
        <item h="1" x="0"/>
        <item h="1" x="2"/>
        <item h="1" x="3"/>
        <item h="1" x="4"/>
        <item x="1"/>
        <item t="default"/>
      </items>
    </pivotField>
    <pivotField showAll="0"/>
    <pivotField axis="axisRow" showAll="0">
      <items count="7">
        <item h="1" x="1"/>
        <item h="1" x="4"/>
        <item h="1" x="0"/>
        <item x="5"/>
        <item h="1" x="2"/>
        <item h="1" x="3"/>
        <item t="default"/>
      </items>
    </pivotField>
    <pivotField showAll="0"/>
    <pivotField showAll="0"/>
    <pivotField numFmtId="176" showAll="0"/>
    <pivotField showAll="0"/>
    <pivotField dataField="1" numFmtId="176" showAll="0"/>
  </pivotFields>
  <rowFields count="1">
    <field x="2"/>
  </rowFields>
  <rowItems count="2">
    <i>
      <x v="3"/>
    </i>
    <i t="grand">
      <x/>
    </i>
  </rowItems>
  <colItems count="1">
    <i/>
  </colItems>
  <dataFields count="1">
    <dataField name="求和项:Revenue" fld="7" baseField="0" baseItem="0" numFmtId="38"/>
  </dataFields>
  <formats count="3">
    <format dxfId="238">
      <pivotArea collapsedLevelsAreSubtotals="1" fieldPosition="0">
        <references count="1">
          <reference field="2" count="0"/>
        </references>
      </pivotArea>
    </format>
    <format dxfId="209">
      <pivotArea outline="0" collapsedLevelsAreSubtotals="1" fieldPosition="0"/>
    </format>
    <format dxfId="20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0F778A-A081-2A43-9926-8FA88122D2A7}" name="数据透视表5" cacheId="22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>
  <location ref="A3:B5" firstHeaderRow="1" firstDataRow="1" firstDataCol="1"/>
  <pivotFields count="8">
    <pivotField axis="axisRow" showAll="0">
      <items count="6">
        <item h="1" x="0"/>
        <item h="1" x="2"/>
        <item h="1" x="3"/>
        <item h="1" x="4"/>
        <item x="1"/>
        <item t="default"/>
      </items>
    </pivotField>
    <pivotField showAll="0"/>
    <pivotField showAll="0">
      <items count="7">
        <item h="1" x="1"/>
        <item x="4"/>
        <item h="1" x="0"/>
        <item x="5"/>
        <item x="2"/>
        <item x="3"/>
        <item t="default"/>
      </items>
    </pivotField>
    <pivotField showAll="0"/>
    <pivotField showAll="0"/>
    <pivotField numFmtId="176" showAll="0"/>
    <pivotField showAll="0"/>
    <pivotField dataField="1" numFmtId="176" showAll="0"/>
  </pivotFields>
  <rowFields count="1">
    <field x="0"/>
  </rowFields>
  <rowItems count="2">
    <i>
      <x v="4"/>
    </i>
    <i t="grand">
      <x/>
    </i>
  </rowItems>
  <colItems count="1">
    <i/>
  </colItems>
  <dataFields count="1">
    <dataField name="求和项:Revenue" fld="7" baseField="0" baseItem="0" numFmtId="38"/>
  </dataFields>
  <formats count="3">
    <format dxfId="312">
      <pivotArea collapsedLevelsAreSubtotals="1" fieldPosition="0">
        <references count="1">
          <reference field="0" count="0"/>
        </references>
      </pivotArea>
    </format>
    <format dxfId="219">
      <pivotArea outline="0" collapsedLevelsAreSubtotals="1" fieldPosition="0"/>
    </format>
    <format dxfId="21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Year" xr10:uid="{3F810D82-F5F5-4E45-BF74-30E45D5E30FB}" sourceName="Year">
  <pivotTables>
    <pivotTable tabId="7" name="数据透视表5"/>
    <pivotTable tabId="7" name="数据透视表6"/>
    <pivotTable tabId="7" name="数据透视表7"/>
    <pivotTable tabId="7" name="数据透视表8"/>
    <pivotTable tabId="7" name="数据透视表10"/>
    <pivotTable tabId="7" name="数据透视表11"/>
    <pivotTable tabId="7" name="数据透视表12"/>
  </pivotTables>
  <data>
    <tabular pivotCacheId="871355298" customListSort="0">
      <items count="5">
        <i x="0"/>
        <i x="2"/>
        <i x="3"/>
        <i x="4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切片器_Region" xr10:uid="{3E53576D-FC56-084F-9B98-4B656EDAA32D}" sourceName="Region">
  <pivotTables>
    <pivotTable tabId="7" name="数据透视表6"/>
    <pivotTable tabId="7" name="数据透视表7"/>
  </pivotTables>
  <data>
    <tabular pivotCacheId="871355298">
      <items count="6">
        <i x="1"/>
        <i x="4"/>
        <i x="0"/>
        <i x="5" s="1"/>
        <i x="2"/>
        <i x="3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Year" xr10:uid="{187B9B26-8C2A-0649-AB00-4B246E96520B}" cache="切片器_Year" caption="Year" showCaption="0" rowHeight="164592"/>
  <slicer name="Region" xr10:uid="{4C3D5187-C2AD-4C48-A366-53E220AB6FAF}" cache="切片器_Region" caption="Region" showCaption="0" rowHeight="164592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H401" headerRowDxfId="64" dataDxfId="322" totalsRowDxfId="321">
  <autoFilter ref="A1:H401" xr:uid="{00000000-0009-0000-0100-000001000000}"/>
  <tableColumns count="8">
    <tableColumn id="1" xr3:uid="{00000000-0010-0000-0000-000001000000}" name="Year" dataDxfId="320"/>
    <tableColumn id="2" xr3:uid="{00000000-0010-0000-0000-000002000000}" name="Month" dataDxfId="319"/>
    <tableColumn id="3" xr3:uid="{00000000-0010-0000-0000-000003000000}" name="Region" dataDxfId="318"/>
    <tableColumn id="4" xr3:uid="{00000000-0010-0000-0000-000004000000}" name="Customer" dataDxfId="317"/>
    <tableColumn id="5" xr3:uid="{00000000-0010-0000-0000-000005000000}" name="Product" dataDxfId="316"/>
    <tableColumn id="6" xr3:uid="{00000000-0010-0000-0000-000006000000}" name="Unit Price" dataDxfId="313"/>
    <tableColumn id="7" xr3:uid="{00000000-0010-0000-0000-000007000000}" name="Quantity Sold" dataDxfId="314"/>
    <tableColumn id="8" xr3:uid="{00000000-0010-0000-0000-000008000000}" name="Revenue" dataDxfId="315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B3CF1-6586-F043-A87A-E3D7D2CEED01}">
  <dimension ref="A3:W72"/>
  <sheetViews>
    <sheetView zoomScale="125" workbookViewId="0">
      <selection activeCell="T4" sqref="T4"/>
      <pivotSelection pane="bottomRight" showHeader="1" extendable="1" activeRow="3" activeCol="19" click="1" r:id="rId2">
        <pivotArea dataOnly="0" outline="0" axis="axisValues" fieldPosition="0"/>
      </pivotSelection>
    </sheetView>
  </sheetViews>
  <sheetFormatPr baseColWidth="10" defaultRowHeight="14"/>
  <cols>
    <col min="1" max="1" width="10" bestFit="1" customWidth="1"/>
    <col min="2" max="2" width="15" style="10" bestFit="1" customWidth="1"/>
    <col min="3" max="3" width="15" bestFit="1" customWidth="1"/>
    <col min="4" max="4" width="10" bestFit="1" customWidth="1"/>
    <col min="5" max="5" width="15" style="10" bestFit="1" customWidth="1"/>
    <col min="7" max="7" width="10" bestFit="1" customWidth="1"/>
    <col min="8" max="8" width="15" style="9" bestFit="1" customWidth="1"/>
    <col min="11" max="11" width="10.83203125" style="10"/>
    <col min="13" max="13" width="10" bestFit="1" customWidth="1"/>
    <col min="14" max="14" width="15" bestFit="1" customWidth="1"/>
    <col min="15" max="15" width="15.1640625" bestFit="1" customWidth="1"/>
    <col min="16" max="16" width="10" bestFit="1" customWidth="1"/>
    <col min="17" max="17" width="15" bestFit="1" customWidth="1"/>
    <col min="19" max="19" width="14.1640625" bestFit="1" customWidth="1"/>
    <col min="20" max="20" width="15" style="9" bestFit="1" customWidth="1"/>
    <col min="22" max="22" width="10" bestFit="1" customWidth="1"/>
    <col min="23" max="23" width="15" style="9" bestFit="1" customWidth="1"/>
  </cols>
  <sheetData>
    <row r="3" spans="1:23">
      <c r="A3" s="3" t="s">
        <v>188</v>
      </c>
      <c r="B3" s="10" t="s">
        <v>187</v>
      </c>
      <c r="D3" s="3" t="s">
        <v>188</v>
      </c>
      <c r="E3" s="10" t="s">
        <v>187</v>
      </c>
      <c r="H3" s="9" t="s">
        <v>187</v>
      </c>
    </row>
    <row r="4" spans="1:23">
      <c r="A4" s="4">
        <v>2023</v>
      </c>
      <c r="B4" s="10">
        <v>31792.3</v>
      </c>
      <c r="D4" s="4" t="s">
        <v>25</v>
      </c>
      <c r="E4" s="10">
        <v>4408.2</v>
      </c>
      <c r="G4" s="4" t="s">
        <v>25</v>
      </c>
      <c r="H4" s="9">
        <v>4408.2</v>
      </c>
      <c r="J4" t="s">
        <v>190</v>
      </c>
      <c r="K4" s="10">
        <f>MAX(H5:H16)</f>
        <v>1036.5</v>
      </c>
      <c r="M4" s="3" t="s">
        <v>188</v>
      </c>
      <c r="N4" t="s">
        <v>187</v>
      </c>
      <c r="P4" s="3" t="s">
        <v>188</v>
      </c>
      <c r="Q4" s="9" t="s">
        <v>187</v>
      </c>
      <c r="S4" s="3" t="s">
        <v>188</v>
      </c>
      <c r="T4" s="9" t="s">
        <v>187</v>
      </c>
      <c r="V4" s="3" t="s">
        <v>188</v>
      </c>
      <c r="W4" s="9" t="s">
        <v>187</v>
      </c>
    </row>
    <row r="5" spans="1:23">
      <c r="A5" s="4" t="s">
        <v>189</v>
      </c>
      <c r="B5" s="10">
        <v>31792.3</v>
      </c>
      <c r="D5" s="4" t="s">
        <v>189</v>
      </c>
      <c r="E5" s="10">
        <v>4408.2</v>
      </c>
      <c r="G5" s="8">
        <v>2</v>
      </c>
      <c r="H5" s="9">
        <v>609.5</v>
      </c>
      <c r="J5" t="s">
        <v>191</v>
      </c>
      <c r="K5" s="10">
        <f>MIN(H5:H16)</f>
        <v>126.4</v>
      </c>
      <c r="M5" s="4">
        <v>2023</v>
      </c>
      <c r="N5" s="9">
        <v>31792.3</v>
      </c>
      <c r="P5" s="4" t="s">
        <v>28</v>
      </c>
      <c r="Q5" s="9">
        <v>7227</v>
      </c>
      <c r="S5" s="4" t="s">
        <v>105</v>
      </c>
      <c r="T5" s="9">
        <v>1682.3000000000002</v>
      </c>
      <c r="V5" s="4" t="s">
        <v>22</v>
      </c>
      <c r="W5" s="9">
        <v>6378.3</v>
      </c>
    </row>
    <row r="6" spans="1:23">
      <c r="G6" s="8">
        <v>3</v>
      </c>
      <c r="H6" s="9">
        <v>274.39999999999998</v>
      </c>
      <c r="J6" t="s">
        <v>192</v>
      </c>
      <c r="K6" s="10">
        <f>AVERAGE(H5:H16)</f>
        <v>551.02499999999998</v>
      </c>
      <c r="M6" s="8">
        <v>1</v>
      </c>
      <c r="N6" s="9">
        <v>2113.3000000000002</v>
      </c>
      <c r="P6" s="4" t="s">
        <v>12</v>
      </c>
      <c r="Q6" s="9">
        <v>3900.4</v>
      </c>
      <c r="S6" s="4" t="s">
        <v>126</v>
      </c>
      <c r="T6" s="9">
        <v>1435.5</v>
      </c>
      <c r="V6" s="4" t="s">
        <v>25</v>
      </c>
      <c r="W6" s="9">
        <v>4408.2</v>
      </c>
    </row>
    <row r="7" spans="1:23">
      <c r="G7" s="8">
        <v>5</v>
      </c>
      <c r="H7" s="9">
        <v>895.7</v>
      </c>
      <c r="M7" s="8">
        <v>2</v>
      </c>
      <c r="N7" s="9">
        <v>1933.9</v>
      </c>
      <c r="P7" s="4" t="s">
        <v>21</v>
      </c>
      <c r="Q7" s="9">
        <v>9029.7999999999993</v>
      </c>
      <c r="S7" s="4" t="s">
        <v>40</v>
      </c>
      <c r="T7" s="9">
        <v>1287</v>
      </c>
      <c r="V7" s="4" t="s">
        <v>15</v>
      </c>
      <c r="W7" s="9">
        <v>3589.4</v>
      </c>
    </row>
    <row r="8" spans="1:23">
      <c r="G8" s="8">
        <v>6</v>
      </c>
      <c r="H8" s="9">
        <v>126.4</v>
      </c>
      <c r="M8" s="8">
        <v>3</v>
      </c>
      <c r="N8" s="9">
        <v>2351.9</v>
      </c>
      <c r="P8" s="4" t="s">
        <v>10</v>
      </c>
      <c r="Q8" s="9">
        <v>5419.4000000000005</v>
      </c>
      <c r="S8" s="4" t="s">
        <v>27</v>
      </c>
      <c r="T8" s="9">
        <v>1287</v>
      </c>
      <c r="V8" s="4" t="s">
        <v>19</v>
      </c>
      <c r="W8" s="9">
        <v>4159.4000000000005</v>
      </c>
    </row>
    <row r="9" spans="1:23">
      <c r="G9" s="8">
        <v>7</v>
      </c>
      <c r="H9" s="9">
        <v>790.3</v>
      </c>
      <c r="M9" s="8">
        <v>4</v>
      </c>
      <c r="N9" s="9">
        <v>1939.8</v>
      </c>
      <c r="P9" s="4" t="s">
        <v>18</v>
      </c>
      <c r="Q9" s="9">
        <v>3471.7</v>
      </c>
      <c r="S9" s="4" t="s">
        <v>64</v>
      </c>
      <c r="T9" s="9">
        <v>1284.7</v>
      </c>
      <c r="V9" s="4" t="s">
        <v>189</v>
      </c>
      <c r="W9" s="9">
        <v>18535.3</v>
      </c>
    </row>
    <row r="10" spans="1:23">
      <c r="G10" s="8">
        <v>8</v>
      </c>
      <c r="H10" s="9">
        <v>346.5</v>
      </c>
      <c r="M10" s="8">
        <v>5</v>
      </c>
      <c r="N10" s="9">
        <v>2335.1</v>
      </c>
      <c r="P10" s="4" t="s">
        <v>24</v>
      </c>
      <c r="Q10" s="9">
        <v>2744</v>
      </c>
      <c r="S10" s="4" t="s">
        <v>117</v>
      </c>
      <c r="T10" s="9">
        <v>1237.5</v>
      </c>
    </row>
    <row r="11" spans="1:23">
      <c r="G11" s="8">
        <v>9</v>
      </c>
      <c r="H11" s="9">
        <v>1036.5</v>
      </c>
      <c r="M11" s="8">
        <v>6</v>
      </c>
      <c r="N11" s="9">
        <v>3706.1</v>
      </c>
      <c r="P11" s="4" t="s">
        <v>189</v>
      </c>
      <c r="Q11" s="9">
        <v>31792.3</v>
      </c>
      <c r="S11" s="4" t="s">
        <v>103</v>
      </c>
      <c r="T11" s="9">
        <v>1218.0999999999999</v>
      </c>
    </row>
    <row r="12" spans="1:23">
      <c r="G12" s="8">
        <v>10</v>
      </c>
      <c r="H12" s="9">
        <v>328.9</v>
      </c>
      <c r="M12" s="8">
        <v>7</v>
      </c>
      <c r="N12" s="9">
        <v>2478.3000000000002</v>
      </c>
      <c r="S12" s="4" t="s">
        <v>140</v>
      </c>
      <c r="T12" s="9">
        <v>1022.6999999999999</v>
      </c>
    </row>
    <row r="13" spans="1:23">
      <c r="H13"/>
      <c r="M13" s="8">
        <v>8</v>
      </c>
      <c r="N13" s="9">
        <v>3559.7999999999997</v>
      </c>
      <c r="S13" s="4" t="s">
        <v>73</v>
      </c>
      <c r="T13" s="9">
        <v>819.5</v>
      </c>
    </row>
    <row r="14" spans="1:23">
      <c r="H14"/>
      <c r="M14" s="8">
        <v>9</v>
      </c>
      <c r="N14" s="9">
        <v>4518.3</v>
      </c>
      <c r="S14" s="4" t="s">
        <v>143</v>
      </c>
      <c r="T14" s="9">
        <v>802.2</v>
      </c>
    </row>
    <row r="15" spans="1:23">
      <c r="M15" s="8">
        <v>10</v>
      </c>
      <c r="N15" s="9">
        <v>4054.5</v>
      </c>
      <c r="S15" s="4" t="s">
        <v>189</v>
      </c>
      <c r="T15" s="9">
        <v>12076.5</v>
      </c>
    </row>
    <row r="16" spans="1:23">
      <c r="M16" s="8">
        <v>11</v>
      </c>
      <c r="N16" s="9">
        <v>1013.7</v>
      </c>
      <c r="T16"/>
    </row>
    <row r="17" spans="13:20">
      <c r="M17" s="8">
        <v>12</v>
      </c>
      <c r="N17" s="9">
        <v>1787.6</v>
      </c>
      <c r="T17"/>
    </row>
    <row r="18" spans="13:20">
      <c r="M18" s="4" t="s">
        <v>189</v>
      </c>
      <c r="N18" s="9">
        <v>31792.3</v>
      </c>
      <c r="T18"/>
    </row>
    <row r="19" spans="13:20">
      <c r="T19"/>
    </row>
    <row r="20" spans="13:20">
      <c r="T20"/>
    </row>
    <row r="21" spans="13:20">
      <c r="T21"/>
    </row>
    <row r="22" spans="13:20">
      <c r="T22"/>
    </row>
    <row r="23" spans="13:20">
      <c r="T23"/>
    </row>
    <row r="24" spans="13:20">
      <c r="T24"/>
    </row>
    <row r="25" spans="13:20">
      <c r="T25"/>
    </row>
    <row r="26" spans="13:20">
      <c r="T26"/>
    </row>
    <row r="27" spans="13:20">
      <c r="T27"/>
    </row>
    <row r="28" spans="13:20">
      <c r="T28"/>
    </row>
    <row r="29" spans="13:20">
      <c r="T29"/>
    </row>
    <row r="30" spans="13:20">
      <c r="T30"/>
    </row>
    <row r="31" spans="13:20">
      <c r="T31"/>
    </row>
    <row r="32" spans="13:20">
      <c r="T32"/>
    </row>
    <row r="33" spans="20:20">
      <c r="T33"/>
    </row>
    <row r="34" spans="20:20">
      <c r="T34"/>
    </row>
    <row r="35" spans="20:20">
      <c r="T35"/>
    </row>
    <row r="36" spans="20:20">
      <c r="T36"/>
    </row>
    <row r="37" spans="20:20">
      <c r="T37"/>
    </row>
    <row r="38" spans="20:20">
      <c r="T38"/>
    </row>
    <row r="39" spans="20:20">
      <c r="T39"/>
    </row>
    <row r="40" spans="20:20">
      <c r="T40"/>
    </row>
    <row r="41" spans="20:20">
      <c r="T41"/>
    </row>
    <row r="42" spans="20:20">
      <c r="T42"/>
    </row>
    <row r="43" spans="20:20">
      <c r="T43"/>
    </row>
    <row r="44" spans="20:20">
      <c r="T44"/>
    </row>
    <row r="45" spans="20:20">
      <c r="T45"/>
    </row>
    <row r="46" spans="20:20">
      <c r="T46"/>
    </row>
    <row r="47" spans="20:20">
      <c r="T47"/>
    </row>
    <row r="48" spans="20:20">
      <c r="T48"/>
    </row>
    <row r="49" spans="20:20">
      <c r="T49"/>
    </row>
    <row r="50" spans="20:20">
      <c r="T50"/>
    </row>
    <row r="51" spans="20:20">
      <c r="T51"/>
    </row>
    <row r="52" spans="20:20">
      <c r="T52"/>
    </row>
    <row r="53" spans="20:20">
      <c r="T53"/>
    </row>
    <row r="54" spans="20:20">
      <c r="T54"/>
    </row>
    <row r="55" spans="20:20">
      <c r="T55"/>
    </row>
    <row r="56" spans="20:20">
      <c r="T56"/>
    </row>
    <row r="57" spans="20:20">
      <c r="T57"/>
    </row>
    <row r="58" spans="20:20">
      <c r="T58"/>
    </row>
    <row r="59" spans="20:20">
      <c r="T59"/>
    </row>
    <row r="60" spans="20:20">
      <c r="T60"/>
    </row>
    <row r="61" spans="20:20">
      <c r="T61"/>
    </row>
    <row r="62" spans="20:20">
      <c r="T62"/>
    </row>
    <row r="63" spans="20:20">
      <c r="T63"/>
    </row>
    <row r="64" spans="20:20">
      <c r="T64"/>
    </row>
    <row r="65" spans="20:20">
      <c r="T65"/>
    </row>
    <row r="66" spans="20:20">
      <c r="T66"/>
    </row>
    <row r="67" spans="20:20">
      <c r="T67"/>
    </row>
    <row r="68" spans="20:20">
      <c r="T68"/>
    </row>
    <row r="69" spans="20:20">
      <c r="T69"/>
    </row>
    <row r="70" spans="20:20">
      <c r="T70"/>
    </row>
    <row r="71" spans="20:20">
      <c r="T71"/>
    </row>
    <row r="72" spans="20:20">
      <c r="T72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1"/>
  <sheetViews>
    <sheetView topLeftCell="A341" zoomScale="109" workbookViewId="0">
      <selection activeCell="J13" sqref="J13"/>
    </sheetView>
  </sheetViews>
  <sheetFormatPr baseColWidth="10" defaultColWidth="8.83203125" defaultRowHeight="14"/>
  <cols>
    <col min="1" max="2" width="10" style="1" customWidth="1"/>
    <col min="3" max="3" width="15" style="1" customWidth="1"/>
    <col min="4" max="4" width="20" style="1" customWidth="1"/>
    <col min="5" max="5" width="15" style="1" customWidth="1"/>
    <col min="6" max="6" width="14" style="1" customWidth="1"/>
    <col min="7" max="7" width="16" style="1" customWidth="1"/>
    <col min="8" max="8" width="14" style="1" customWidth="1"/>
    <col min="9" max="16384" width="8.83203125" style="1"/>
  </cols>
  <sheetData>
    <row r="1" spans="1:8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 spans="1:8">
      <c r="A2" s="1">
        <v>2019</v>
      </c>
      <c r="B2" s="1">
        <v>1</v>
      </c>
      <c r="C2" s="1" t="s">
        <v>8</v>
      </c>
      <c r="D2" s="1" t="s">
        <v>9</v>
      </c>
      <c r="E2" s="1" t="s">
        <v>10</v>
      </c>
      <c r="F2" s="2">
        <v>15.8</v>
      </c>
      <c r="G2" s="1">
        <v>9</v>
      </c>
      <c r="H2" s="2">
        <v>142.19999999999999</v>
      </c>
    </row>
    <row r="3" spans="1:8">
      <c r="A3" s="1">
        <v>2019</v>
      </c>
      <c r="B3" s="1">
        <v>11</v>
      </c>
      <c r="C3" s="1" t="s">
        <v>8</v>
      </c>
      <c r="D3" s="1" t="s">
        <v>11</v>
      </c>
      <c r="E3" s="1" t="s">
        <v>12</v>
      </c>
      <c r="F3" s="2">
        <v>19.899999999999999</v>
      </c>
      <c r="G3" s="1">
        <v>18</v>
      </c>
      <c r="H3" s="2">
        <v>358.2</v>
      </c>
    </row>
    <row r="4" spans="1:8">
      <c r="A4" s="1">
        <v>2019</v>
      </c>
      <c r="B4" s="1">
        <v>1</v>
      </c>
      <c r="C4" s="1" t="s">
        <v>13</v>
      </c>
      <c r="D4" s="1" t="s">
        <v>14</v>
      </c>
      <c r="E4" s="1" t="s">
        <v>12</v>
      </c>
      <c r="F4" s="2">
        <v>19.899999999999999</v>
      </c>
      <c r="G4" s="1">
        <v>24</v>
      </c>
      <c r="H4" s="2">
        <v>477.6</v>
      </c>
    </row>
    <row r="5" spans="1:8">
      <c r="A5" s="1">
        <v>2019</v>
      </c>
      <c r="B5" s="1">
        <v>9</v>
      </c>
      <c r="C5" s="1" t="s">
        <v>15</v>
      </c>
      <c r="D5" s="1" t="s">
        <v>16</v>
      </c>
      <c r="E5" s="1" t="s">
        <v>10</v>
      </c>
      <c r="F5" s="2">
        <v>15.8</v>
      </c>
      <c r="G5" s="1">
        <v>19</v>
      </c>
      <c r="H5" s="2">
        <v>300.2</v>
      </c>
    </row>
    <row r="6" spans="1:8">
      <c r="A6" s="1">
        <v>2023</v>
      </c>
      <c r="B6" s="1">
        <v>5</v>
      </c>
      <c r="C6" s="1" t="s">
        <v>13</v>
      </c>
      <c r="D6" s="1" t="s">
        <v>17</v>
      </c>
      <c r="E6" s="1" t="s">
        <v>18</v>
      </c>
      <c r="F6" s="2">
        <v>14.9</v>
      </c>
      <c r="G6" s="1">
        <v>13</v>
      </c>
      <c r="H6" s="2">
        <v>193.7</v>
      </c>
    </row>
    <row r="7" spans="1:8">
      <c r="A7" s="1">
        <v>2020</v>
      </c>
      <c r="B7" s="1">
        <v>4</v>
      </c>
      <c r="C7" s="1" t="s">
        <v>19</v>
      </c>
      <c r="D7" s="1" t="s">
        <v>20</v>
      </c>
      <c r="E7" s="1" t="s">
        <v>21</v>
      </c>
      <c r="F7" s="2">
        <v>29.9</v>
      </c>
      <c r="G7" s="1">
        <v>8</v>
      </c>
      <c r="H7" s="2">
        <v>239.2</v>
      </c>
    </row>
    <row r="8" spans="1:8">
      <c r="A8" s="1">
        <v>2021</v>
      </c>
      <c r="B8" s="1">
        <v>6</v>
      </c>
      <c r="C8" s="1" t="s">
        <v>22</v>
      </c>
      <c r="D8" s="1" t="s">
        <v>23</v>
      </c>
      <c r="E8" s="1" t="s">
        <v>24</v>
      </c>
      <c r="F8" s="2">
        <v>9.8000000000000007</v>
      </c>
      <c r="G8" s="1">
        <v>19</v>
      </c>
      <c r="H8" s="2">
        <v>186.2</v>
      </c>
    </row>
    <row r="9" spans="1:8">
      <c r="A9" s="1">
        <v>2023</v>
      </c>
      <c r="B9" s="1">
        <v>2</v>
      </c>
      <c r="C9" s="1" t="s">
        <v>25</v>
      </c>
      <c r="D9" s="1" t="s">
        <v>26</v>
      </c>
      <c r="E9" s="1" t="s">
        <v>18</v>
      </c>
      <c r="F9" s="2">
        <v>14.9</v>
      </c>
      <c r="G9" s="1">
        <v>25</v>
      </c>
      <c r="H9" s="2">
        <v>372.5</v>
      </c>
    </row>
    <row r="10" spans="1:8">
      <c r="A10" s="1">
        <v>2023</v>
      </c>
      <c r="B10" s="1">
        <v>6</v>
      </c>
      <c r="C10" s="1" t="s">
        <v>22</v>
      </c>
      <c r="D10" s="1" t="s">
        <v>27</v>
      </c>
      <c r="E10" s="1" t="s">
        <v>28</v>
      </c>
      <c r="F10" s="2">
        <v>49.5</v>
      </c>
      <c r="G10" s="1">
        <v>26</v>
      </c>
      <c r="H10" s="2">
        <v>1287</v>
      </c>
    </row>
    <row r="11" spans="1:8">
      <c r="A11" s="1">
        <v>2020</v>
      </c>
      <c r="B11" s="1">
        <v>5</v>
      </c>
      <c r="C11" s="1" t="s">
        <v>13</v>
      </c>
      <c r="D11" s="1" t="s">
        <v>29</v>
      </c>
      <c r="E11" s="1" t="s">
        <v>21</v>
      </c>
      <c r="F11" s="2">
        <v>29.9</v>
      </c>
      <c r="G11" s="1">
        <v>13</v>
      </c>
      <c r="H11" s="2">
        <v>388.7</v>
      </c>
    </row>
    <row r="12" spans="1:8">
      <c r="A12" s="1">
        <v>2022</v>
      </c>
      <c r="B12" s="1">
        <v>11</v>
      </c>
      <c r="C12" s="1" t="s">
        <v>19</v>
      </c>
      <c r="D12" s="1" t="s">
        <v>30</v>
      </c>
      <c r="E12" s="1" t="s">
        <v>18</v>
      </c>
      <c r="F12" s="2">
        <v>14.9</v>
      </c>
      <c r="G12" s="1">
        <v>11</v>
      </c>
      <c r="H12" s="2">
        <v>163.9</v>
      </c>
    </row>
    <row r="13" spans="1:8">
      <c r="A13" s="1">
        <v>2021</v>
      </c>
      <c r="B13" s="1">
        <v>12</v>
      </c>
      <c r="C13" s="1" t="s">
        <v>8</v>
      </c>
      <c r="D13" s="1" t="s">
        <v>31</v>
      </c>
      <c r="E13" s="1" t="s">
        <v>24</v>
      </c>
      <c r="F13" s="2">
        <v>9.8000000000000007</v>
      </c>
      <c r="G13" s="1">
        <v>10</v>
      </c>
      <c r="H13" s="2">
        <v>98</v>
      </c>
    </row>
    <row r="14" spans="1:8">
      <c r="A14" s="1">
        <v>2023</v>
      </c>
      <c r="B14" s="1">
        <v>12</v>
      </c>
      <c r="C14" s="1" t="s">
        <v>15</v>
      </c>
      <c r="D14" s="1" t="s">
        <v>32</v>
      </c>
      <c r="E14" s="1" t="s">
        <v>21</v>
      </c>
      <c r="F14" s="2">
        <v>29.9</v>
      </c>
      <c r="G14" s="1">
        <v>13</v>
      </c>
      <c r="H14" s="2">
        <v>388.7</v>
      </c>
    </row>
    <row r="15" spans="1:8">
      <c r="A15" s="1">
        <v>2023</v>
      </c>
      <c r="B15" s="1">
        <v>4</v>
      </c>
      <c r="C15" s="1" t="s">
        <v>8</v>
      </c>
      <c r="D15" s="1" t="s">
        <v>33</v>
      </c>
      <c r="E15" s="1" t="s">
        <v>10</v>
      </c>
      <c r="F15" s="2">
        <v>15.8</v>
      </c>
      <c r="G15" s="1">
        <v>6</v>
      </c>
      <c r="H15" s="2">
        <v>94.8</v>
      </c>
    </row>
    <row r="16" spans="1:8">
      <c r="A16" s="1">
        <v>2021</v>
      </c>
      <c r="B16" s="1">
        <v>7</v>
      </c>
      <c r="C16" s="1" t="s">
        <v>19</v>
      </c>
      <c r="D16" s="1" t="s">
        <v>34</v>
      </c>
      <c r="E16" s="1" t="s">
        <v>12</v>
      </c>
      <c r="F16" s="2">
        <v>19.899999999999999</v>
      </c>
      <c r="G16" s="1">
        <v>27</v>
      </c>
      <c r="H16" s="2">
        <v>537.29999999999995</v>
      </c>
    </row>
    <row r="17" spans="1:8">
      <c r="A17" s="1">
        <v>2021</v>
      </c>
      <c r="B17" s="1">
        <v>4</v>
      </c>
      <c r="C17" s="1" t="s">
        <v>8</v>
      </c>
      <c r="D17" s="1" t="s">
        <v>35</v>
      </c>
      <c r="E17" s="1" t="s">
        <v>24</v>
      </c>
      <c r="F17" s="2">
        <v>9.8000000000000007</v>
      </c>
      <c r="G17" s="1">
        <v>19</v>
      </c>
      <c r="H17" s="2">
        <v>186.2</v>
      </c>
    </row>
    <row r="18" spans="1:8">
      <c r="A18" s="1">
        <v>2020</v>
      </c>
      <c r="B18" s="1">
        <v>5</v>
      </c>
      <c r="C18" s="1" t="s">
        <v>15</v>
      </c>
      <c r="D18" s="1" t="s">
        <v>36</v>
      </c>
      <c r="E18" s="1" t="s">
        <v>12</v>
      </c>
      <c r="F18" s="2">
        <v>19.899999999999999</v>
      </c>
      <c r="G18" s="1">
        <v>13</v>
      </c>
      <c r="H18" s="2">
        <v>258.7</v>
      </c>
    </row>
    <row r="19" spans="1:8">
      <c r="A19" s="1">
        <v>2023</v>
      </c>
      <c r="B19" s="1">
        <v>7</v>
      </c>
      <c r="C19" s="1" t="s">
        <v>22</v>
      </c>
      <c r="D19" s="1" t="s">
        <v>37</v>
      </c>
      <c r="E19" s="1" t="s">
        <v>10</v>
      </c>
      <c r="F19" s="2">
        <v>15.8</v>
      </c>
      <c r="G19" s="1">
        <v>9</v>
      </c>
      <c r="H19" s="2">
        <v>142.19999999999999</v>
      </c>
    </row>
    <row r="20" spans="1:8">
      <c r="A20" s="1">
        <v>2023</v>
      </c>
      <c r="B20" s="1">
        <v>8</v>
      </c>
      <c r="C20" s="1" t="s">
        <v>13</v>
      </c>
      <c r="D20" s="1" t="s">
        <v>38</v>
      </c>
      <c r="E20" s="1" t="s">
        <v>10</v>
      </c>
      <c r="F20" s="2">
        <v>15.8</v>
      </c>
      <c r="G20" s="1">
        <v>25</v>
      </c>
      <c r="H20" s="2">
        <v>395</v>
      </c>
    </row>
    <row r="21" spans="1:8">
      <c r="A21" s="1">
        <v>2020</v>
      </c>
      <c r="B21" s="1">
        <v>11</v>
      </c>
      <c r="C21" s="1" t="s">
        <v>25</v>
      </c>
      <c r="D21" s="1" t="s">
        <v>39</v>
      </c>
      <c r="E21" s="1" t="s">
        <v>21</v>
      </c>
      <c r="F21" s="2">
        <v>29.9</v>
      </c>
      <c r="G21" s="1">
        <v>17</v>
      </c>
      <c r="H21" s="2">
        <v>508.3</v>
      </c>
    </row>
    <row r="22" spans="1:8">
      <c r="A22" s="1">
        <v>2023</v>
      </c>
      <c r="B22" s="1">
        <v>8</v>
      </c>
      <c r="C22" s="1" t="s">
        <v>22</v>
      </c>
      <c r="D22" s="1" t="s">
        <v>40</v>
      </c>
      <c r="E22" s="1" t="s">
        <v>28</v>
      </c>
      <c r="F22" s="2">
        <v>49.5</v>
      </c>
      <c r="G22" s="1">
        <v>26</v>
      </c>
      <c r="H22" s="2">
        <v>1287</v>
      </c>
    </row>
    <row r="23" spans="1:8">
      <c r="A23" s="1">
        <v>2019</v>
      </c>
      <c r="B23" s="1">
        <v>11</v>
      </c>
      <c r="C23" s="1" t="s">
        <v>22</v>
      </c>
      <c r="D23" s="1" t="s">
        <v>41</v>
      </c>
      <c r="E23" s="1" t="s">
        <v>28</v>
      </c>
      <c r="F23" s="2">
        <v>49.5</v>
      </c>
      <c r="G23" s="1">
        <v>14</v>
      </c>
      <c r="H23" s="2">
        <v>693</v>
      </c>
    </row>
    <row r="24" spans="1:8">
      <c r="A24" s="1">
        <v>2022</v>
      </c>
      <c r="B24" s="1">
        <v>3</v>
      </c>
      <c r="C24" s="1" t="s">
        <v>25</v>
      </c>
      <c r="D24" s="1" t="s">
        <v>42</v>
      </c>
      <c r="E24" s="1" t="s">
        <v>12</v>
      </c>
      <c r="F24" s="2">
        <v>19.899999999999999</v>
      </c>
      <c r="G24" s="1">
        <v>29</v>
      </c>
      <c r="H24" s="2">
        <v>577.1</v>
      </c>
    </row>
    <row r="25" spans="1:8">
      <c r="A25" s="1">
        <v>2020</v>
      </c>
      <c r="B25" s="1">
        <v>9</v>
      </c>
      <c r="C25" s="1" t="s">
        <v>13</v>
      </c>
      <c r="D25" s="1" t="s">
        <v>43</v>
      </c>
      <c r="E25" s="1" t="s">
        <v>12</v>
      </c>
      <c r="F25" s="2">
        <v>19.899999999999999</v>
      </c>
      <c r="G25" s="1">
        <v>11</v>
      </c>
      <c r="H25" s="2">
        <v>218.9</v>
      </c>
    </row>
    <row r="26" spans="1:8">
      <c r="A26" s="1">
        <v>2020</v>
      </c>
      <c r="B26" s="1">
        <v>6</v>
      </c>
      <c r="C26" s="1" t="s">
        <v>15</v>
      </c>
      <c r="D26" s="1" t="s">
        <v>44</v>
      </c>
      <c r="E26" s="1" t="s">
        <v>28</v>
      </c>
      <c r="F26" s="2">
        <v>49.5</v>
      </c>
      <c r="G26" s="1">
        <v>24</v>
      </c>
      <c r="H26" s="2">
        <v>1188</v>
      </c>
    </row>
    <row r="27" spans="1:8">
      <c r="A27" s="1">
        <v>2021</v>
      </c>
      <c r="B27" s="1">
        <v>8</v>
      </c>
      <c r="C27" s="1" t="s">
        <v>13</v>
      </c>
      <c r="D27" s="1" t="s">
        <v>45</v>
      </c>
      <c r="E27" s="1" t="s">
        <v>18</v>
      </c>
      <c r="F27" s="2">
        <v>14.9</v>
      </c>
      <c r="G27" s="1">
        <v>12</v>
      </c>
      <c r="H27" s="2">
        <v>178.8</v>
      </c>
    </row>
    <row r="28" spans="1:8">
      <c r="A28" s="1">
        <v>2019</v>
      </c>
      <c r="B28" s="1">
        <v>4</v>
      </c>
      <c r="C28" s="1" t="s">
        <v>22</v>
      </c>
      <c r="D28" s="1" t="s">
        <v>46</v>
      </c>
      <c r="E28" s="1" t="s">
        <v>24</v>
      </c>
      <c r="F28" s="2">
        <v>9.8000000000000007</v>
      </c>
      <c r="G28" s="1">
        <v>20</v>
      </c>
      <c r="H28" s="2">
        <v>196</v>
      </c>
    </row>
    <row r="29" spans="1:8">
      <c r="A29" s="1">
        <v>2019</v>
      </c>
      <c r="B29" s="1">
        <v>9</v>
      </c>
      <c r="C29" s="1" t="s">
        <v>15</v>
      </c>
      <c r="D29" s="1" t="s">
        <v>47</v>
      </c>
      <c r="E29" s="1" t="s">
        <v>12</v>
      </c>
      <c r="F29" s="2">
        <v>19.899999999999999</v>
      </c>
      <c r="G29" s="1">
        <v>10</v>
      </c>
      <c r="H29" s="2">
        <v>199</v>
      </c>
    </row>
    <row r="30" spans="1:8">
      <c r="A30" s="1">
        <v>2021</v>
      </c>
      <c r="B30" s="1">
        <v>9</v>
      </c>
      <c r="C30" s="1" t="s">
        <v>22</v>
      </c>
      <c r="D30" s="1" t="s">
        <v>48</v>
      </c>
      <c r="E30" s="1" t="s">
        <v>12</v>
      </c>
      <c r="F30" s="2">
        <v>19.899999999999999</v>
      </c>
      <c r="G30" s="1">
        <v>29</v>
      </c>
      <c r="H30" s="2">
        <v>577.1</v>
      </c>
    </row>
    <row r="31" spans="1:8">
      <c r="A31" s="1">
        <v>2020</v>
      </c>
      <c r="B31" s="1">
        <v>12</v>
      </c>
      <c r="C31" s="1" t="s">
        <v>19</v>
      </c>
      <c r="D31" s="1" t="s">
        <v>37</v>
      </c>
      <c r="E31" s="1" t="s">
        <v>21</v>
      </c>
      <c r="F31" s="2">
        <v>29.9</v>
      </c>
      <c r="G31" s="1">
        <v>21</v>
      </c>
      <c r="H31" s="2">
        <v>627.9</v>
      </c>
    </row>
    <row r="32" spans="1:8">
      <c r="A32" s="1">
        <v>2022</v>
      </c>
      <c r="B32" s="1">
        <v>2</v>
      </c>
      <c r="C32" s="1" t="s">
        <v>15</v>
      </c>
      <c r="D32" s="1" t="s">
        <v>29</v>
      </c>
      <c r="E32" s="1" t="s">
        <v>18</v>
      </c>
      <c r="F32" s="2">
        <v>14.9</v>
      </c>
      <c r="G32" s="1">
        <v>5</v>
      </c>
      <c r="H32" s="2">
        <v>74.5</v>
      </c>
    </row>
    <row r="33" spans="1:8">
      <c r="A33" s="1">
        <v>2023</v>
      </c>
      <c r="B33" s="1">
        <v>9</v>
      </c>
      <c r="C33" s="1" t="s">
        <v>15</v>
      </c>
      <c r="D33" s="1" t="s">
        <v>49</v>
      </c>
      <c r="E33" s="1" t="s">
        <v>28</v>
      </c>
      <c r="F33" s="2">
        <v>49.5</v>
      </c>
      <c r="G33" s="1">
        <v>7</v>
      </c>
      <c r="H33" s="2">
        <v>346.5</v>
      </c>
    </row>
    <row r="34" spans="1:8">
      <c r="A34" s="1">
        <v>2019</v>
      </c>
      <c r="B34" s="1">
        <v>4</v>
      </c>
      <c r="C34" s="1" t="s">
        <v>13</v>
      </c>
      <c r="D34" s="1" t="s">
        <v>50</v>
      </c>
      <c r="E34" s="1" t="s">
        <v>28</v>
      </c>
      <c r="F34" s="2">
        <v>49.5</v>
      </c>
      <c r="G34" s="1">
        <v>21</v>
      </c>
      <c r="H34" s="2">
        <v>1039.5</v>
      </c>
    </row>
    <row r="35" spans="1:8">
      <c r="A35" s="1">
        <v>2020</v>
      </c>
      <c r="B35" s="1">
        <v>5</v>
      </c>
      <c r="C35" s="1" t="s">
        <v>8</v>
      </c>
      <c r="D35" s="1" t="s">
        <v>51</v>
      </c>
      <c r="E35" s="1" t="s">
        <v>12</v>
      </c>
      <c r="F35" s="2">
        <v>19.899999999999999</v>
      </c>
      <c r="G35" s="1">
        <v>9</v>
      </c>
      <c r="H35" s="2">
        <v>179.1</v>
      </c>
    </row>
    <row r="36" spans="1:8">
      <c r="A36" s="1">
        <v>2023</v>
      </c>
      <c r="B36" s="1">
        <v>10</v>
      </c>
      <c r="C36" s="1" t="s">
        <v>25</v>
      </c>
      <c r="D36" s="1" t="s">
        <v>52</v>
      </c>
      <c r="E36" s="1" t="s">
        <v>21</v>
      </c>
      <c r="F36" s="2">
        <v>29.9</v>
      </c>
      <c r="G36" s="1">
        <v>11</v>
      </c>
      <c r="H36" s="2">
        <v>328.9</v>
      </c>
    </row>
    <row r="37" spans="1:8">
      <c r="A37" s="1">
        <v>2019</v>
      </c>
      <c r="B37" s="1">
        <v>2</v>
      </c>
      <c r="C37" s="1" t="s">
        <v>8</v>
      </c>
      <c r="D37" s="1" t="s">
        <v>53</v>
      </c>
      <c r="E37" s="1" t="s">
        <v>21</v>
      </c>
      <c r="F37" s="2">
        <v>29.9</v>
      </c>
      <c r="G37" s="1">
        <v>18</v>
      </c>
      <c r="H37" s="2">
        <v>538.20000000000005</v>
      </c>
    </row>
    <row r="38" spans="1:8">
      <c r="A38" s="1">
        <v>2022</v>
      </c>
      <c r="B38" s="1">
        <v>12</v>
      </c>
      <c r="C38" s="1" t="s">
        <v>13</v>
      </c>
      <c r="D38" s="1" t="s">
        <v>54</v>
      </c>
      <c r="E38" s="1" t="s">
        <v>21</v>
      </c>
      <c r="F38" s="2">
        <v>29.9</v>
      </c>
      <c r="G38" s="1">
        <v>28</v>
      </c>
      <c r="H38" s="2">
        <v>837.2</v>
      </c>
    </row>
    <row r="39" spans="1:8">
      <c r="A39" s="1">
        <v>2021</v>
      </c>
      <c r="B39" s="1">
        <v>2</v>
      </c>
      <c r="C39" s="1" t="s">
        <v>15</v>
      </c>
      <c r="D39" s="1" t="s">
        <v>14</v>
      </c>
      <c r="E39" s="1" t="s">
        <v>12</v>
      </c>
      <c r="F39" s="2">
        <v>19.899999999999999</v>
      </c>
      <c r="G39" s="1">
        <v>19</v>
      </c>
      <c r="H39" s="2">
        <v>378.1</v>
      </c>
    </row>
    <row r="40" spans="1:8">
      <c r="A40" s="1">
        <v>2020</v>
      </c>
      <c r="B40" s="1">
        <v>7</v>
      </c>
      <c r="C40" s="1" t="s">
        <v>15</v>
      </c>
      <c r="D40" s="1" t="s">
        <v>55</v>
      </c>
      <c r="E40" s="1" t="s">
        <v>10</v>
      </c>
      <c r="F40" s="2">
        <v>15.8</v>
      </c>
      <c r="G40" s="1">
        <v>7</v>
      </c>
      <c r="H40" s="2">
        <v>110.6</v>
      </c>
    </row>
    <row r="41" spans="1:8">
      <c r="A41" s="1">
        <v>2022</v>
      </c>
      <c r="B41" s="1">
        <v>9</v>
      </c>
      <c r="C41" s="1" t="s">
        <v>13</v>
      </c>
      <c r="D41" s="1" t="s">
        <v>56</v>
      </c>
      <c r="E41" s="1" t="s">
        <v>28</v>
      </c>
      <c r="F41" s="2">
        <v>49.5</v>
      </c>
      <c r="G41" s="1">
        <v>7</v>
      </c>
      <c r="H41" s="2">
        <v>346.5</v>
      </c>
    </row>
    <row r="42" spans="1:8">
      <c r="A42" s="1">
        <v>2020</v>
      </c>
      <c r="B42" s="1">
        <v>3</v>
      </c>
      <c r="C42" s="1" t="s">
        <v>25</v>
      </c>
      <c r="D42" s="1" t="s">
        <v>57</v>
      </c>
      <c r="E42" s="1" t="s">
        <v>10</v>
      </c>
      <c r="F42" s="2">
        <v>15.8</v>
      </c>
      <c r="G42" s="1">
        <v>17</v>
      </c>
      <c r="H42" s="2">
        <v>268.60000000000002</v>
      </c>
    </row>
    <row r="43" spans="1:8">
      <c r="A43" s="1">
        <v>2019</v>
      </c>
      <c r="B43" s="1">
        <v>3</v>
      </c>
      <c r="C43" s="1" t="s">
        <v>25</v>
      </c>
      <c r="D43" s="1" t="s">
        <v>58</v>
      </c>
      <c r="E43" s="1" t="s">
        <v>18</v>
      </c>
      <c r="F43" s="2">
        <v>14.9</v>
      </c>
      <c r="G43" s="1">
        <v>30</v>
      </c>
      <c r="H43" s="2">
        <v>447</v>
      </c>
    </row>
    <row r="44" spans="1:8">
      <c r="A44" s="1">
        <v>2022</v>
      </c>
      <c r="B44" s="1">
        <v>5</v>
      </c>
      <c r="C44" s="1" t="s">
        <v>25</v>
      </c>
      <c r="D44" s="1" t="s">
        <v>59</v>
      </c>
      <c r="E44" s="1" t="s">
        <v>10</v>
      </c>
      <c r="F44" s="2">
        <v>15.8</v>
      </c>
      <c r="G44" s="1">
        <v>11</v>
      </c>
      <c r="H44" s="2">
        <v>173.8</v>
      </c>
    </row>
    <row r="45" spans="1:8">
      <c r="A45" s="1">
        <v>2021</v>
      </c>
      <c r="B45" s="1">
        <v>4</v>
      </c>
      <c r="C45" s="1" t="s">
        <v>13</v>
      </c>
      <c r="D45" s="1" t="s">
        <v>60</v>
      </c>
      <c r="E45" s="1" t="s">
        <v>28</v>
      </c>
      <c r="F45" s="2">
        <v>49.5</v>
      </c>
      <c r="G45" s="1">
        <v>28</v>
      </c>
      <c r="H45" s="2">
        <v>1386</v>
      </c>
    </row>
    <row r="46" spans="1:8">
      <c r="A46" s="1">
        <v>2021</v>
      </c>
      <c r="B46" s="1">
        <v>1</v>
      </c>
      <c r="C46" s="1" t="s">
        <v>13</v>
      </c>
      <c r="D46" s="1" t="s">
        <v>61</v>
      </c>
      <c r="E46" s="1" t="s">
        <v>12</v>
      </c>
      <c r="F46" s="2">
        <v>19.899999999999999</v>
      </c>
      <c r="G46" s="1">
        <v>21</v>
      </c>
      <c r="H46" s="2">
        <v>417.9</v>
      </c>
    </row>
    <row r="47" spans="1:8">
      <c r="A47" s="1">
        <v>2020</v>
      </c>
      <c r="B47" s="1">
        <v>1</v>
      </c>
      <c r="C47" s="1" t="s">
        <v>22</v>
      </c>
      <c r="D47" s="1" t="s">
        <v>62</v>
      </c>
      <c r="E47" s="1" t="s">
        <v>28</v>
      </c>
      <c r="F47" s="2">
        <v>49.5</v>
      </c>
      <c r="G47" s="1">
        <v>24</v>
      </c>
      <c r="H47" s="2">
        <v>1188</v>
      </c>
    </row>
    <row r="48" spans="1:8">
      <c r="A48" s="1">
        <v>2019</v>
      </c>
      <c r="B48" s="1">
        <v>11</v>
      </c>
      <c r="C48" s="1" t="s">
        <v>15</v>
      </c>
      <c r="D48" s="1" t="s">
        <v>63</v>
      </c>
      <c r="E48" s="1" t="s">
        <v>12</v>
      </c>
      <c r="F48" s="2">
        <v>19.899999999999999</v>
      </c>
      <c r="G48" s="1">
        <v>12</v>
      </c>
      <c r="H48" s="2">
        <v>238.8</v>
      </c>
    </row>
    <row r="49" spans="1:8">
      <c r="A49" s="1">
        <v>2023</v>
      </c>
      <c r="B49" s="1">
        <v>10</v>
      </c>
      <c r="C49" s="1" t="s">
        <v>13</v>
      </c>
      <c r="D49" s="1" t="s">
        <v>39</v>
      </c>
      <c r="E49" s="1" t="s">
        <v>21</v>
      </c>
      <c r="F49" s="2">
        <v>29.9</v>
      </c>
      <c r="G49" s="1">
        <v>26</v>
      </c>
      <c r="H49" s="2">
        <v>777.4</v>
      </c>
    </row>
    <row r="50" spans="1:8">
      <c r="A50" s="1">
        <v>2023</v>
      </c>
      <c r="B50" s="1">
        <v>10</v>
      </c>
      <c r="C50" s="1" t="s">
        <v>22</v>
      </c>
      <c r="D50" s="1" t="s">
        <v>64</v>
      </c>
      <c r="E50" s="1" t="s">
        <v>10</v>
      </c>
      <c r="F50" s="2">
        <v>15.8</v>
      </c>
      <c r="G50" s="1">
        <v>26</v>
      </c>
      <c r="H50" s="2">
        <v>410.8</v>
      </c>
    </row>
    <row r="51" spans="1:8">
      <c r="A51" s="1">
        <v>2021</v>
      </c>
      <c r="B51" s="1">
        <v>4</v>
      </c>
      <c r="C51" s="1" t="s">
        <v>19</v>
      </c>
      <c r="D51" s="1" t="s">
        <v>65</v>
      </c>
      <c r="E51" s="1" t="s">
        <v>24</v>
      </c>
      <c r="F51" s="2">
        <v>9.8000000000000007</v>
      </c>
      <c r="G51" s="1">
        <v>25</v>
      </c>
      <c r="H51" s="2">
        <v>245</v>
      </c>
    </row>
    <row r="52" spans="1:8">
      <c r="A52" s="1">
        <v>2021</v>
      </c>
      <c r="B52" s="1">
        <v>8</v>
      </c>
      <c r="C52" s="1" t="s">
        <v>19</v>
      </c>
      <c r="D52" s="1" t="s">
        <v>66</v>
      </c>
      <c r="E52" s="1" t="s">
        <v>21</v>
      </c>
      <c r="F52" s="2">
        <v>29.9</v>
      </c>
      <c r="G52" s="1">
        <v>24</v>
      </c>
      <c r="H52" s="2">
        <v>717.6</v>
      </c>
    </row>
    <row r="53" spans="1:8">
      <c r="A53" s="1">
        <v>2023</v>
      </c>
      <c r="B53" s="1">
        <v>2</v>
      </c>
      <c r="C53" s="1" t="s">
        <v>13</v>
      </c>
      <c r="D53" s="1" t="s">
        <v>67</v>
      </c>
      <c r="E53" s="1" t="s">
        <v>12</v>
      </c>
      <c r="F53" s="2">
        <v>19.899999999999999</v>
      </c>
      <c r="G53" s="1">
        <v>13</v>
      </c>
      <c r="H53" s="2">
        <v>258.7</v>
      </c>
    </row>
    <row r="54" spans="1:8">
      <c r="A54" s="1">
        <v>2020</v>
      </c>
      <c r="B54" s="1">
        <v>6</v>
      </c>
      <c r="C54" s="1" t="s">
        <v>13</v>
      </c>
      <c r="D54" s="1" t="s">
        <v>68</v>
      </c>
      <c r="E54" s="1" t="s">
        <v>18</v>
      </c>
      <c r="F54" s="2">
        <v>14.9</v>
      </c>
      <c r="G54" s="1">
        <v>10</v>
      </c>
      <c r="H54" s="2">
        <v>149</v>
      </c>
    </row>
    <row r="55" spans="1:8">
      <c r="A55" s="1">
        <v>2022</v>
      </c>
      <c r="B55" s="1">
        <v>9</v>
      </c>
      <c r="C55" s="1" t="s">
        <v>8</v>
      </c>
      <c r="D55" s="1" t="s">
        <v>69</v>
      </c>
      <c r="E55" s="1" t="s">
        <v>24</v>
      </c>
      <c r="F55" s="2">
        <v>9.8000000000000007</v>
      </c>
      <c r="G55" s="1">
        <v>21</v>
      </c>
      <c r="H55" s="2">
        <v>205.8</v>
      </c>
    </row>
    <row r="56" spans="1:8">
      <c r="A56" s="1">
        <v>2019</v>
      </c>
      <c r="B56" s="1">
        <v>11</v>
      </c>
      <c r="C56" s="1" t="s">
        <v>22</v>
      </c>
      <c r="D56" s="1" t="s">
        <v>70</v>
      </c>
      <c r="E56" s="1" t="s">
        <v>10</v>
      </c>
      <c r="F56" s="2">
        <v>15.8</v>
      </c>
      <c r="G56" s="1">
        <v>13</v>
      </c>
      <c r="H56" s="2">
        <v>205.4</v>
      </c>
    </row>
    <row r="57" spans="1:8">
      <c r="A57" s="1">
        <v>2019</v>
      </c>
      <c r="B57" s="1">
        <v>2</v>
      </c>
      <c r="C57" s="1" t="s">
        <v>8</v>
      </c>
      <c r="D57" s="1" t="s">
        <v>71</v>
      </c>
      <c r="E57" s="1" t="s">
        <v>18</v>
      </c>
      <c r="F57" s="2">
        <v>14.9</v>
      </c>
      <c r="G57" s="1">
        <v>14</v>
      </c>
      <c r="H57" s="2">
        <v>208.6</v>
      </c>
    </row>
    <row r="58" spans="1:8">
      <c r="A58" s="1">
        <v>2023</v>
      </c>
      <c r="B58" s="1">
        <v>4</v>
      </c>
      <c r="C58" s="1" t="s">
        <v>8</v>
      </c>
      <c r="D58" s="1" t="s">
        <v>72</v>
      </c>
      <c r="E58" s="1" t="s">
        <v>24</v>
      </c>
      <c r="F58" s="2">
        <v>9.8000000000000007</v>
      </c>
      <c r="G58" s="1">
        <v>25</v>
      </c>
      <c r="H58" s="2">
        <v>245</v>
      </c>
    </row>
    <row r="59" spans="1:8">
      <c r="A59" s="1">
        <v>2021</v>
      </c>
      <c r="B59" s="1">
        <v>9</v>
      </c>
      <c r="C59" s="1" t="s">
        <v>25</v>
      </c>
      <c r="D59" s="1" t="s">
        <v>23</v>
      </c>
      <c r="E59" s="1" t="s">
        <v>28</v>
      </c>
      <c r="F59" s="2">
        <v>49.5</v>
      </c>
      <c r="G59" s="1">
        <v>25</v>
      </c>
      <c r="H59" s="2">
        <v>1237.5</v>
      </c>
    </row>
    <row r="60" spans="1:8">
      <c r="A60" s="1">
        <v>2022</v>
      </c>
      <c r="B60" s="1">
        <v>5</v>
      </c>
      <c r="C60" s="1" t="s">
        <v>13</v>
      </c>
      <c r="D60" s="1" t="s">
        <v>73</v>
      </c>
      <c r="E60" s="1" t="s">
        <v>10</v>
      </c>
      <c r="F60" s="2">
        <v>15.8</v>
      </c>
      <c r="G60" s="1">
        <v>25</v>
      </c>
      <c r="H60" s="2">
        <v>395</v>
      </c>
    </row>
    <row r="61" spans="1:8">
      <c r="A61" s="1">
        <v>2021</v>
      </c>
      <c r="B61" s="1">
        <v>3</v>
      </c>
      <c r="C61" s="1" t="s">
        <v>8</v>
      </c>
      <c r="D61" s="1" t="s">
        <v>74</v>
      </c>
      <c r="E61" s="1" t="s">
        <v>24</v>
      </c>
      <c r="F61" s="2">
        <v>9.8000000000000007</v>
      </c>
      <c r="G61" s="1">
        <v>18</v>
      </c>
      <c r="H61" s="2">
        <v>176.4</v>
      </c>
    </row>
    <row r="62" spans="1:8">
      <c r="A62" s="1">
        <v>2023</v>
      </c>
      <c r="B62" s="1">
        <v>1</v>
      </c>
      <c r="C62" s="1" t="s">
        <v>13</v>
      </c>
      <c r="D62" s="1" t="s">
        <v>62</v>
      </c>
      <c r="E62" s="1" t="s">
        <v>12</v>
      </c>
      <c r="F62" s="2">
        <v>19.899999999999999</v>
      </c>
      <c r="G62" s="1">
        <v>6</v>
      </c>
      <c r="H62" s="2">
        <v>119.4</v>
      </c>
    </row>
    <row r="63" spans="1:8">
      <c r="A63" s="1">
        <v>2021</v>
      </c>
      <c r="B63" s="1">
        <v>10</v>
      </c>
      <c r="C63" s="1" t="s">
        <v>22</v>
      </c>
      <c r="D63" s="1" t="s">
        <v>75</v>
      </c>
      <c r="E63" s="1" t="s">
        <v>10</v>
      </c>
      <c r="F63" s="2">
        <v>15.8</v>
      </c>
      <c r="G63" s="1">
        <v>6</v>
      </c>
      <c r="H63" s="2">
        <v>94.8</v>
      </c>
    </row>
    <row r="64" spans="1:8">
      <c r="A64" s="1">
        <v>2021</v>
      </c>
      <c r="B64" s="1">
        <v>6</v>
      </c>
      <c r="C64" s="1" t="s">
        <v>13</v>
      </c>
      <c r="D64" s="1" t="s">
        <v>76</v>
      </c>
      <c r="E64" s="1" t="s">
        <v>24</v>
      </c>
      <c r="F64" s="2">
        <v>9.8000000000000007</v>
      </c>
      <c r="G64" s="1">
        <v>12</v>
      </c>
      <c r="H64" s="2">
        <v>117.6</v>
      </c>
    </row>
    <row r="65" spans="1:8">
      <c r="A65" s="1">
        <v>2019</v>
      </c>
      <c r="B65" s="1">
        <v>6</v>
      </c>
      <c r="C65" s="1" t="s">
        <v>22</v>
      </c>
      <c r="D65" s="1" t="s">
        <v>77</v>
      </c>
      <c r="E65" s="1" t="s">
        <v>24</v>
      </c>
      <c r="F65" s="2">
        <v>9.8000000000000007</v>
      </c>
      <c r="G65" s="1">
        <v>9</v>
      </c>
      <c r="H65" s="2">
        <v>88.2</v>
      </c>
    </row>
    <row r="66" spans="1:8">
      <c r="A66" s="1">
        <v>2020</v>
      </c>
      <c r="B66" s="1">
        <v>3</v>
      </c>
      <c r="C66" s="1" t="s">
        <v>15</v>
      </c>
      <c r="D66" s="1" t="s">
        <v>78</v>
      </c>
      <c r="E66" s="1" t="s">
        <v>10</v>
      </c>
      <c r="F66" s="2">
        <v>15.8</v>
      </c>
      <c r="G66" s="1">
        <v>28</v>
      </c>
      <c r="H66" s="2">
        <v>442.4</v>
      </c>
    </row>
    <row r="67" spans="1:8">
      <c r="A67" s="1">
        <v>2021</v>
      </c>
      <c r="B67" s="1">
        <v>7</v>
      </c>
      <c r="C67" s="1" t="s">
        <v>8</v>
      </c>
      <c r="D67" s="1" t="s">
        <v>79</v>
      </c>
      <c r="E67" s="1" t="s">
        <v>10</v>
      </c>
      <c r="F67" s="2">
        <v>15.8</v>
      </c>
      <c r="G67" s="1">
        <v>30</v>
      </c>
      <c r="H67" s="2">
        <v>474</v>
      </c>
    </row>
    <row r="68" spans="1:8">
      <c r="A68" s="1">
        <v>2019</v>
      </c>
      <c r="B68" s="1">
        <v>7</v>
      </c>
      <c r="C68" s="1" t="s">
        <v>13</v>
      </c>
      <c r="D68" s="1" t="s">
        <v>51</v>
      </c>
      <c r="E68" s="1" t="s">
        <v>10</v>
      </c>
      <c r="F68" s="2">
        <v>15.8</v>
      </c>
      <c r="G68" s="1">
        <v>19</v>
      </c>
      <c r="H68" s="2">
        <v>300.2</v>
      </c>
    </row>
    <row r="69" spans="1:8">
      <c r="A69" s="1">
        <v>2021</v>
      </c>
      <c r="B69" s="1">
        <v>5</v>
      </c>
      <c r="C69" s="1" t="s">
        <v>15</v>
      </c>
      <c r="D69" s="1" t="s">
        <v>80</v>
      </c>
      <c r="E69" s="1" t="s">
        <v>24</v>
      </c>
      <c r="F69" s="2">
        <v>9.8000000000000007</v>
      </c>
      <c r="G69" s="1">
        <v>11</v>
      </c>
      <c r="H69" s="2">
        <v>107.8</v>
      </c>
    </row>
    <row r="70" spans="1:8">
      <c r="A70" s="1">
        <v>2022</v>
      </c>
      <c r="B70" s="1">
        <v>6</v>
      </c>
      <c r="C70" s="1" t="s">
        <v>19</v>
      </c>
      <c r="D70" s="1" t="s">
        <v>81</v>
      </c>
      <c r="E70" s="1" t="s">
        <v>18</v>
      </c>
      <c r="F70" s="2">
        <v>14.9</v>
      </c>
      <c r="G70" s="1">
        <v>25</v>
      </c>
      <c r="H70" s="2">
        <v>372.5</v>
      </c>
    </row>
    <row r="71" spans="1:8">
      <c r="A71" s="1">
        <v>2023</v>
      </c>
      <c r="B71" s="1">
        <v>7</v>
      </c>
      <c r="C71" s="1" t="s">
        <v>8</v>
      </c>
      <c r="D71" s="1" t="s">
        <v>82</v>
      </c>
      <c r="E71" s="1" t="s">
        <v>28</v>
      </c>
      <c r="F71" s="2">
        <v>49.5</v>
      </c>
      <c r="G71" s="1">
        <v>8</v>
      </c>
      <c r="H71" s="2">
        <v>396</v>
      </c>
    </row>
    <row r="72" spans="1:8">
      <c r="A72" s="1">
        <v>2021</v>
      </c>
      <c r="B72" s="1">
        <v>3</v>
      </c>
      <c r="C72" s="1" t="s">
        <v>22</v>
      </c>
      <c r="D72" s="1" t="s">
        <v>23</v>
      </c>
      <c r="E72" s="1" t="s">
        <v>28</v>
      </c>
      <c r="F72" s="2">
        <v>49.5</v>
      </c>
      <c r="G72" s="1">
        <v>24</v>
      </c>
      <c r="H72" s="2">
        <v>1188</v>
      </c>
    </row>
    <row r="73" spans="1:8">
      <c r="A73" s="1">
        <v>2022</v>
      </c>
      <c r="B73" s="1">
        <v>6</v>
      </c>
      <c r="C73" s="1" t="s">
        <v>8</v>
      </c>
      <c r="D73" s="1" t="s">
        <v>83</v>
      </c>
      <c r="E73" s="1" t="s">
        <v>12</v>
      </c>
      <c r="F73" s="2">
        <v>19.899999999999999</v>
      </c>
      <c r="G73" s="1">
        <v>21</v>
      </c>
      <c r="H73" s="2">
        <v>417.9</v>
      </c>
    </row>
    <row r="74" spans="1:8">
      <c r="A74" s="1">
        <v>2019</v>
      </c>
      <c r="B74" s="1">
        <v>7</v>
      </c>
      <c r="C74" s="1" t="s">
        <v>22</v>
      </c>
      <c r="D74" s="1" t="s">
        <v>84</v>
      </c>
      <c r="E74" s="1" t="s">
        <v>28</v>
      </c>
      <c r="F74" s="2">
        <v>49.5</v>
      </c>
      <c r="G74" s="1">
        <v>27</v>
      </c>
      <c r="H74" s="2">
        <v>1336.5</v>
      </c>
    </row>
    <row r="75" spans="1:8">
      <c r="A75" s="1">
        <v>2022</v>
      </c>
      <c r="B75" s="1">
        <v>1</v>
      </c>
      <c r="C75" s="1" t="s">
        <v>22</v>
      </c>
      <c r="D75" s="1" t="s">
        <v>67</v>
      </c>
      <c r="E75" s="1" t="s">
        <v>18</v>
      </c>
      <c r="F75" s="2">
        <v>14.9</v>
      </c>
      <c r="G75" s="1">
        <v>18</v>
      </c>
      <c r="H75" s="2">
        <v>268.2</v>
      </c>
    </row>
    <row r="76" spans="1:8">
      <c r="A76" s="1">
        <v>2019</v>
      </c>
      <c r="B76" s="1">
        <v>11</v>
      </c>
      <c r="C76" s="1" t="s">
        <v>19</v>
      </c>
      <c r="D76" s="1" t="s">
        <v>85</v>
      </c>
      <c r="E76" s="1" t="s">
        <v>24</v>
      </c>
      <c r="F76" s="2">
        <v>9.8000000000000007</v>
      </c>
      <c r="G76" s="1">
        <v>8</v>
      </c>
      <c r="H76" s="2">
        <v>78.400000000000006</v>
      </c>
    </row>
    <row r="77" spans="1:8">
      <c r="A77" s="1">
        <v>2021</v>
      </c>
      <c r="B77" s="1">
        <v>9</v>
      </c>
      <c r="C77" s="1" t="s">
        <v>19</v>
      </c>
      <c r="D77" s="1" t="s">
        <v>53</v>
      </c>
      <c r="E77" s="1" t="s">
        <v>21</v>
      </c>
      <c r="F77" s="2">
        <v>29.9</v>
      </c>
      <c r="G77" s="1">
        <v>27</v>
      </c>
      <c r="H77" s="2">
        <v>807.3</v>
      </c>
    </row>
    <row r="78" spans="1:8">
      <c r="A78" s="1">
        <v>2021</v>
      </c>
      <c r="B78" s="1">
        <v>9</v>
      </c>
      <c r="C78" s="1" t="s">
        <v>15</v>
      </c>
      <c r="D78" s="1" t="s">
        <v>86</v>
      </c>
      <c r="E78" s="1" t="s">
        <v>24</v>
      </c>
      <c r="F78" s="2">
        <v>9.8000000000000007</v>
      </c>
      <c r="G78" s="1">
        <v>17</v>
      </c>
      <c r="H78" s="2">
        <v>166.6</v>
      </c>
    </row>
    <row r="79" spans="1:8">
      <c r="A79" s="1">
        <v>2020</v>
      </c>
      <c r="B79" s="1">
        <v>10</v>
      </c>
      <c r="C79" s="1" t="s">
        <v>22</v>
      </c>
      <c r="D79" s="1" t="s">
        <v>87</v>
      </c>
      <c r="E79" s="1" t="s">
        <v>12</v>
      </c>
      <c r="F79" s="2">
        <v>19.899999999999999</v>
      </c>
      <c r="G79" s="1">
        <v>5</v>
      </c>
      <c r="H79" s="2">
        <v>99.5</v>
      </c>
    </row>
    <row r="80" spans="1:8">
      <c r="A80" s="1">
        <v>2021</v>
      </c>
      <c r="B80" s="1">
        <v>5</v>
      </c>
      <c r="C80" s="1" t="s">
        <v>15</v>
      </c>
      <c r="D80" s="1" t="s">
        <v>77</v>
      </c>
      <c r="E80" s="1" t="s">
        <v>12</v>
      </c>
      <c r="F80" s="2">
        <v>19.899999999999999</v>
      </c>
      <c r="G80" s="1">
        <v>25</v>
      </c>
      <c r="H80" s="2">
        <v>497.5</v>
      </c>
    </row>
    <row r="81" spans="1:8">
      <c r="A81" s="1">
        <v>2021</v>
      </c>
      <c r="B81" s="1">
        <v>8</v>
      </c>
      <c r="C81" s="1" t="s">
        <v>25</v>
      </c>
      <c r="D81" s="1" t="s">
        <v>88</v>
      </c>
      <c r="E81" s="1" t="s">
        <v>12</v>
      </c>
      <c r="F81" s="2">
        <v>19.899999999999999</v>
      </c>
      <c r="G81" s="1">
        <v>20</v>
      </c>
      <c r="H81" s="2">
        <v>398</v>
      </c>
    </row>
    <row r="82" spans="1:8">
      <c r="A82" s="1">
        <v>2020</v>
      </c>
      <c r="B82" s="1">
        <v>11</v>
      </c>
      <c r="C82" s="1" t="s">
        <v>13</v>
      </c>
      <c r="D82" s="1" t="s">
        <v>43</v>
      </c>
      <c r="E82" s="1" t="s">
        <v>24</v>
      </c>
      <c r="F82" s="2">
        <v>9.8000000000000007</v>
      </c>
      <c r="G82" s="1">
        <v>25</v>
      </c>
      <c r="H82" s="2">
        <v>245</v>
      </c>
    </row>
    <row r="83" spans="1:8">
      <c r="A83" s="1">
        <v>2023</v>
      </c>
      <c r="B83" s="1">
        <v>6</v>
      </c>
      <c r="C83" s="1" t="s">
        <v>13</v>
      </c>
      <c r="D83" s="1" t="s">
        <v>79</v>
      </c>
      <c r="E83" s="1" t="s">
        <v>10</v>
      </c>
      <c r="F83" s="2">
        <v>15.8</v>
      </c>
      <c r="G83" s="1">
        <v>30</v>
      </c>
      <c r="H83" s="2">
        <v>474</v>
      </c>
    </row>
    <row r="84" spans="1:8">
      <c r="A84" s="1">
        <v>2020</v>
      </c>
      <c r="B84" s="1">
        <v>3</v>
      </c>
      <c r="C84" s="1" t="s">
        <v>13</v>
      </c>
      <c r="D84" s="1" t="s">
        <v>89</v>
      </c>
      <c r="E84" s="1" t="s">
        <v>21</v>
      </c>
      <c r="F84" s="2">
        <v>29.9</v>
      </c>
      <c r="G84" s="1">
        <v>24</v>
      </c>
      <c r="H84" s="2">
        <v>717.6</v>
      </c>
    </row>
    <row r="85" spans="1:8">
      <c r="A85" s="1">
        <v>2019</v>
      </c>
      <c r="B85" s="1">
        <v>8</v>
      </c>
      <c r="C85" s="1" t="s">
        <v>25</v>
      </c>
      <c r="D85" s="1" t="s">
        <v>49</v>
      </c>
      <c r="E85" s="1" t="s">
        <v>24</v>
      </c>
      <c r="F85" s="2">
        <v>9.8000000000000007</v>
      </c>
      <c r="G85" s="1">
        <v>27</v>
      </c>
      <c r="H85" s="2">
        <v>264.60000000000002</v>
      </c>
    </row>
    <row r="86" spans="1:8">
      <c r="A86" s="1">
        <v>2022</v>
      </c>
      <c r="B86" s="1">
        <v>8</v>
      </c>
      <c r="C86" s="1" t="s">
        <v>25</v>
      </c>
      <c r="D86" s="1" t="s">
        <v>90</v>
      </c>
      <c r="E86" s="1" t="s">
        <v>24</v>
      </c>
      <c r="F86" s="2">
        <v>9.8000000000000007</v>
      </c>
      <c r="G86" s="1">
        <v>27</v>
      </c>
      <c r="H86" s="2">
        <v>264.60000000000002</v>
      </c>
    </row>
    <row r="87" spans="1:8">
      <c r="A87" s="1">
        <v>2019</v>
      </c>
      <c r="B87" s="1">
        <v>2</v>
      </c>
      <c r="C87" s="1" t="s">
        <v>25</v>
      </c>
      <c r="D87" s="1" t="s">
        <v>90</v>
      </c>
      <c r="E87" s="1" t="s">
        <v>24</v>
      </c>
      <c r="F87" s="2">
        <v>9.8000000000000007</v>
      </c>
      <c r="G87" s="1">
        <v>21</v>
      </c>
      <c r="H87" s="2">
        <v>205.8</v>
      </c>
    </row>
    <row r="88" spans="1:8">
      <c r="A88" s="1">
        <v>2022</v>
      </c>
      <c r="B88" s="1">
        <v>1</v>
      </c>
      <c r="C88" s="1" t="s">
        <v>22</v>
      </c>
      <c r="D88" s="1" t="s">
        <v>29</v>
      </c>
      <c r="E88" s="1" t="s">
        <v>21</v>
      </c>
      <c r="F88" s="2">
        <v>29.9</v>
      </c>
      <c r="G88" s="1">
        <v>9</v>
      </c>
      <c r="H88" s="2">
        <v>269.10000000000002</v>
      </c>
    </row>
    <row r="89" spans="1:8">
      <c r="A89" s="1">
        <v>2022</v>
      </c>
      <c r="B89" s="1">
        <v>11</v>
      </c>
      <c r="C89" s="1" t="s">
        <v>22</v>
      </c>
      <c r="D89" s="1" t="s">
        <v>91</v>
      </c>
      <c r="E89" s="1" t="s">
        <v>18</v>
      </c>
      <c r="F89" s="2">
        <v>14.9</v>
      </c>
      <c r="G89" s="1">
        <v>29</v>
      </c>
      <c r="H89" s="2">
        <v>432.1</v>
      </c>
    </row>
    <row r="90" spans="1:8">
      <c r="A90" s="1">
        <v>2022</v>
      </c>
      <c r="B90" s="1">
        <v>10</v>
      </c>
      <c r="C90" s="1" t="s">
        <v>8</v>
      </c>
      <c r="D90" s="1" t="s">
        <v>92</v>
      </c>
      <c r="E90" s="1" t="s">
        <v>12</v>
      </c>
      <c r="F90" s="2">
        <v>19.899999999999999</v>
      </c>
      <c r="G90" s="1">
        <v>19</v>
      </c>
      <c r="H90" s="2">
        <v>378.1</v>
      </c>
    </row>
    <row r="91" spans="1:8">
      <c r="A91" s="1">
        <v>2020</v>
      </c>
      <c r="B91" s="1">
        <v>12</v>
      </c>
      <c r="C91" s="1" t="s">
        <v>25</v>
      </c>
      <c r="D91" s="1" t="s">
        <v>93</v>
      </c>
      <c r="E91" s="1" t="s">
        <v>10</v>
      </c>
      <c r="F91" s="2">
        <v>15.8</v>
      </c>
      <c r="G91" s="1">
        <v>25</v>
      </c>
      <c r="H91" s="2">
        <v>395</v>
      </c>
    </row>
    <row r="92" spans="1:8">
      <c r="A92" s="1">
        <v>2021</v>
      </c>
      <c r="B92" s="1">
        <v>9</v>
      </c>
      <c r="C92" s="1" t="s">
        <v>25</v>
      </c>
      <c r="D92" s="1" t="s">
        <v>79</v>
      </c>
      <c r="E92" s="1" t="s">
        <v>21</v>
      </c>
      <c r="F92" s="2">
        <v>29.9</v>
      </c>
      <c r="G92" s="1">
        <v>7</v>
      </c>
      <c r="H92" s="2">
        <v>209.3</v>
      </c>
    </row>
    <row r="93" spans="1:8">
      <c r="A93" s="1">
        <v>2021</v>
      </c>
      <c r="B93" s="1">
        <v>4</v>
      </c>
      <c r="C93" s="1" t="s">
        <v>19</v>
      </c>
      <c r="D93" s="1" t="s">
        <v>94</v>
      </c>
      <c r="E93" s="1" t="s">
        <v>12</v>
      </c>
      <c r="F93" s="2">
        <v>19.899999999999999</v>
      </c>
      <c r="G93" s="1">
        <v>7</v>
      </c>
      <c r="H93" s="2">
        <v>139.30000000000001</v>
      </c>
    </row>
    <row r="94" spans="1:8">
      <c r="A94" s="1">
        <v>2020</v>
      </c>
      <c r="B94" s="1">
        <v>3</v>
      </c>
      <c r="C94" s="1" t="s">
        <v>15</v>
      </c>
      <c r="D94" s="1" t="s">
        <v>65</v>
      </c>
      <c r="E94" s="1" t="s">
        <v>24</v>
      </c>
      <c r="F94" s="2">
        <v>9.8000000000000007</v>
      </c>
      <c r="G94" s="1">
        <v>11</v>
      </c>
      <c r="H94" s="2">
        <v>107.8</v>
      </c>
    </row>
    <row r="95" spans="1:8">
      <c r="A95" s="1">
        <v>2019</v>
      </c>
      <c r="B95" s="1">
        <v>7</v>
      </c>
      <c r="C95" s="1" t="s">
        <v>25</v>
      </c>
      <c r="D95" s="1" t="s">
        <v>95</v>
      </c>
      <c r="E95" s="1" t="s">
        <v>21</v>
      </c>
      <c r="F95" s="2">
        <v>29.9</v>
      </c>
      <c r="G95" s="1">
        <v>18</v>
      </c>
      <c r="H95" s="2">
        <v>538.20000000000005</v>
      </c>
    </row>
    <row r="96" spans="1:8">
      <c r="A96" s="1">
        <v>2019</v>
      </c>
      <c r="B96" s="1">
        <v>4</v>
      </c>
      <c r="C96" s="1" t="s">
        <v>25</v>
      </c>
      <c r="D96" s="1" t="s">
        <v>96</v>
      </c>
      <c r="E96" s="1" t="s">
        <v>24</v>
      </c>
      <c r="F96" s="2">
        <v>9.8000000000000007</v>
      </c>
      <c r="G96" s="1">
        <v>5</v>
      </c>
      <c r="H96" s="2">
        <v>49</v>
      </c>
    </row>
    <row r="97" spans="1:8">
      <c r="A97" s="1">
        <v>2023</v>
      </c>
      <c r="B97" s="1">
        <v>7</v>
      </c>
      <c r="C97" s="1" t="s">
        <v>25</v>
      </c>
      <c r="D97" s="1" t="s">
        <v>73</v>
      </c>
      <c r="E97" s="1" t="s">
        <v>18</v>
      </c>
      <c r="F97" s="2">
        <v>14.9</v>
      </c>
      <c r="G97" s="1">
        <v>29</v>
      </c>
      <c r="H97" s="2">
        <v>432.1</v>
      </c>
    </row>
    <row r="98" spans="1:8">
      <c r="A98" s="1">
        <v>2022</v>
      </c>
      <c r="B98" s="1">
        <v>7</v>
      </c>
      <c r="C98" s="1" t="s">
        <v>22</v>
      </c>
      <c r="D98" s="1" t="s">
        <v>91</v>
      </c>
      <c r="E98" s="1" t="s">
        <v>10</v>
      </c>
      <c r="F98" s="2">
        <v>15.8</v>
      </c>
      <c r="G98" s="1">
        <v>20</v>
      </c>
      <c r="H98" s="2">
        <v>316</v>
      </c>
    </row>
    <row r="99" spans="1:8">
      <c r="A99" s="1">
        <v>2020</v>
      </c>
      <c r="B99" s="1">
        <v>5</v>
      </c>
      <c r="C99" s="1" t="s">
        <v>25</v>
      </c>
      <c r="D99" s="1" t="s">
        <v>97</v>
      </c>
      <c r="E99" s="1" t="s">
        <v>21</v>
      </c>
      <c r="F99" s="2">
        <v>29.9</v>
      </c>
      <c r="G99" s="1">
        <v>15</v>
      </c>
      <c r="H99" s="2">
        <v>448.5</v>
      </c>
    </row>
    <row r="100" spans="1:8">
      <c r="A100" s="1">
        <v>2022</v>
      </c>
      <c r="B100" s="1">
        <v>12</v>
      </c>
      <c r="C100" s="1" t="s">
        <v>15</v>
      </c>
      <c r="D100" s="1" t="s">
        <v>98</v>
      </c>
      <c r="E100" s="1" t="s">
        <v>12</v>
      </c>
      <c r="F100" s="2">
        <v>19.899999999999999</v>
      </c>
      <c r="G100" s="1">
        <v>22</v>
      </c>
      <c r="H100" s="2">
        <v>437.8</v>
      </c>
    </row>
    <row r="101" spans="1:8">
      <c r="A101" s="1">
        <v>2019</v>
      </c>
      <c r="B101" s="1">
        <v>7</v>
      </c>
      <c r="C101" s="1" t="s">
        <v>22</v>
      </c>
      <c r="D101" s="1" t="s">
        <v>99</v>
      </c>
      <c r="E101" s="1" t="s">
        <v>28</v>
      </c>
      <c r="F101" s="2">
        <v>49.5</v>
      </c>
      <c r="G101" s="1">
        <v>25</v>
      </c>
      <c r="H101" s="2">
        <v>1237.5</v>
      </c>
    </row>
    <row r="102" spans="1:8">
      <c r="A102" s="1">
        <v>2022</v>
      </c>
      <c r="B102" s="1">
        <v>3</v>
      </c>
      <c r="C102" s="1" t="s">
        <v>25</v>
      </c>
      <c r="D102" s="1" t="s">
        <v>100</v>
      </c>
      <c r="E102" s="1" t="s">
        <v>18</v>
      </c>
      <c r="F102" s="2">
        <v>14.9</v>
      </c>
      <c r="G102" s="1">
        <v>17</v>
      </c>
      <c r="H102" s="2">
        <v>253.3</v>
      </c>
    </row>
    <row r="103" spans="1:8">
      <c r="A103" s="1">
        <v>2021</v>
      </c>
      <c r="B103" s="1">
        <v>4</v>
      </c>
      <c r="C103" s="1" t="s">
        <v>25</v>
      </c>
      <c r="D103" s="1" t="s">
        <v>94</v>
      </c>
      <c r="E103" s="1" t="s">
        <v>21</v>
      </c>
      <c r="F103" s="2">
        <v>29.9</v>
      </c>
      <c r="G103" s="1">
        <v>13</v>
      </c>
      <c r="H103" s="2">
        <v>388.7</v>
      </c>
    </row>
    <row r="104" spans="1:8">
      <c r="A104" s="1">
        <v>2022</v>
      </c>
      <c r="B104" s="1">
        <v>5</v>
      </c>
      <c r="C104" s="1" t="s">
        <v>13</v>
      </c>
      <c r="D104" s="1" t="s">
        <v>97</v>
      </c>
      <c r="E104" s="1" t="s">
        <v>24</v>
      </c>
      <c r="F104" s="2">
        <v>9.8000000000000007</v>
      </c>
      <c r="G104" s="1">
        <v>22</v>
      </c>
      <c r="H104" s="2">
        <v>215.6</v>
      </c>
    </row>
    <row r="105" spans="1:8">
      <c r="A105" s="1">
        <v>2019</v>
      </c>
      <c r="B105" s="1">
        <v>6</v>
      </c>
      <c r="C105" s="1" t="s">
        <v>15</v>
      </c>
      <c r="D105" s="1" t="s">
        <v>66</v>
      </c>
      <c r="E105" s="1" t="s">
        <v>28</v>
      </c>
      <c r="F105" s="2">
        <v>49.5</v>
      </c>
      <c r="G105" s="1">
        <v>12</v>
      </c>
      <c r="H105" s="2">
        <v>594</v>
      </c>
    </row>
    <row r="106" spans="1:8">
      <c r="A106" s="1">
        <v>2020</v>
      </c>
      <c r="B106" s="1">
        <v>1</v>
      </c>
      <c r="C106" s="1" t="s">
        <v>22</v>
      </c>
      <c r="D106" s="1" t="s">
        <v>101</v>
      </c>
      <c r="E106" s="1" t="s">
        <v>10</v>
      </c>
      <c r="F106" s="2">
        <v>15.8</v>
      </c>
      <c r="G106" s="1">
        <v>20</v>
      </c>
      <c r="H106" s="2">
        <v>316</v>
      </c>
    </row>
    <row r="107" spans="1:8">
      <c r="A107" s="1">
        <v>2019</v>
      </c>
      <c r="B107" s="1">
        <v>10</v>
      </c>
      <c r="C107" s="1" t="s">
        <v>15</v>
      </c>
      <c r="D107" s="1" t="s">
        <v>93</v>
      </c>
      <c r="E107" s="1" t="s">
        <v>18</v>
      </c>
      <c r="F107" s="2">
        <v>14.9</v>
      </c>
      <c r="G107" s="1">
        <v>10</v>
      </c>
      <c r="H107" s="2">
        <v>149</v>
      </c>
    </row>
    <row r="108" spans="1:8">
      <c r="A108" s="1">
        <v>2023</v>
      </c>
      <c r="B108" s="1">
        <v>10</v>
      </c>
      <c r="C108" s="1" t="s">
        <v>8</v>
      </c>
      <c r="D108" s="1" t="s">
        <v>102</v>
      </c>
      <c r="E108" s="1" t="s">
        <v>18</v>
      </c>
      <c r="F108" s="2">
        <v>14.9</v>
      </c>
      <c r="G108" s="1">
        <v>8</v>
      </c>
      <c r="H108" s="2">
        <v>119.2</v>
      </c>
    </row>
    <row r="109" spans="1:8">
      <c r="A109" s="1">
        <v>2023</v>
      </c>
      <c r="B109" s="1">
        <v>1</v>
      </c>
      <c r="C109" s="1" t="s">
        <v>19</v>
      </c>
      <c r="D109" s="1" t="s">
        <v>103</v>
      </c>
      <c r="E109" s="1" t="s">
        <v>21</v>
      </c>
      <c r="F109" s="2">
        <v>29.9</v>
      </c>
      <c r="G109" s="1">
        <v>27</v>
      </c>
      <c r="H109" s="2">
        <v>807.3</v>
      </c>
    </row>
    <row r="110" spans="1:8">
      <c r="A110" s="1">
        <v>2020</v>
      </c>
      <c r="B110" s="1">
        <v>2</v>
      </c>
      <c r="C110" s="1" t="s">
        <v>22</v>
      </c>
      <c r="D110" s="1" t="s">
        <v>29</v>
      </c>
      <c r="E110" s="1" t="s">
        <v>24</v>
      </c>
      <c r="F110" s="2">
        <v>9.8000000000000007</v>
      </c>
      <c r="G110" s="1">
        <v>29</v>
      </c>
      <c r="H110" s="2">
        <v>284.2</v>
      </c>
    </row>
    <row r="111" spans="1:8">
      <c r="A111" s="1">
        <v>2021</v>
      </c>
      <c r="B111" s="1">
        <v>11</v>
      </c>
      <c r="C111" s="1" t="s">
        <v>22</v>
      </c>
      <c r="D111" s="1" t="s">
        <v>104</v>
      </c>
      <c r="E111" s="1" t="s">
        <v>28</v>
      </c>
      <c r="F111" s="2">
        <v>49.5</v>
      </c>
      <c r="G111" s="1">
        <v>16</v>
      </c>
      <c r="H111" s="2">
        <v>792</v>
      </c>
    </row>
    <row r="112" spans="1:8">
      <c r="A112" s="1">
        <v>2023</v>
      </c>
      <c r="B112" s="1">
        <v>7</v>
      </c>
      <c r="C112" s="1" t="s">
        <v>8</v>
      </c>
      <c r="D112" s="1" t="s">
        <v>105</v>
      </c>
      <c r="E112" s="1" t="s">
        <v>12</v>
      </c>
      <c r="F112" s="2">
        <v>19.899999999999999</v>
      </c>
      <c r="G112" s="1">
        <v>25</v>
      </c>
      <c r="H112" s="2">
        <v>497.5</v>
      </c>
    </row>
    <row r="113" spans="1:8">
      <c r="A113" s="1">
        <v>2021</v>
      </c>
      <c r="B113" s="1">
        <v>1</v>
      </c>
      <c r="C113" s="1" t="s">
        <v>25</v>
      </c>
      <c r="D113" s="1" t="s">
        <v>106</v>
      </c>
      <c r="E113" s="1" t="s">
        <v>21</v>
      </c>
      <c r="F113" s="2">
        <v>29.9</v>
      </c>
      <c r="G113" s="1">
        <v>16</v>
      </c>
      <c r="H113" s="2">
        <v>478.4</v>
      </c>
    </row>
    <row r="114" spans="1:8">
      <c r="A114" s="1">
        <v>2022</v>
      </c>
      <c r="B114" s="1">
        <v>12</v>
      </c>
      <c r="C114" s="1" t="s">
        <v>15</v>
      </c>
      <c r="D114" s="1" t="s">
        <v>107</v>
      </c>
      <c r="E114" s="1" t="s">
        <v>24</v>
      </c>
      <c r="F114" s="2">
        <v>9.8000000000000007</v>
      </c>
      <c r="G114" s="1">
        <v>21</v>
      </c>
      <c r="H114" s="2">
        <v>205.8</v>
      </c>
    </row>
    <row r="115" spans="1:8">
      <c r="A115" s="1">
        <v>2021</v>
      </c>
      <c r="B115" s="1">
        <v>10</v>
      </c>
      <c r="C115" s="1" t="s">
        <v>22</v>
      </c>
      <c r="D115" s="1" t="s">
        <v>57</v>
      </c>
      <c r="E115" s="1" t="s">
        <v>21</v>
      </c>
      <c r="F115" s="2">
        <v>29.9</v>
      </c>
      <c r="G115" s="1">
        <v>28</v>
      </c>
      <c r="H115" s="2">
        <v>837.2</v>
      </c>
    </row>
    <row r="116" spans="1:8">
      <c r="A116" s="1">
        <v>2023</v>
      </c>
      <c r="B116" s="1">
        <v>5</v>
      </c>
      <c r="C116" s="1" t="s">
        <v>19</v>
      </c>
      <c r="D116" s="1" t="s">
        <v>29</v>
      </c>
      <c r="E116" s="1" t="s">
        <v>18</v>
      </c>
      <c r="F116" s="2">
        <v>14.9</v>
      </c>
      <c r="G116" s="1">
        <v>19</v>
      </c>
      <c r="H116" s="2">
        <v>283.10000000000002</v>
      </c>
    </row>
    <row r="117" spans="1:8">
      <c r="A117" s="1">
        <v>2020</v>
      </c>
      <c r="B117" s="1">
        <v>8</v>
      </c>
      <c r="C117" s="1" t="s">
        <v>22</v>
      </c>
      <c r="D117" s="1" t="s">
        <v>108</v>
      </c>
      <c r="E117" s="1" t="s">
        <v>18</v>
      </c>
      <c r="F117" s="2">
        <v>14.9</v>
      </c>
      <c r="G117" s="1">
        <v>5</v>
      </c>
      <c r="H117" s="2">
        <v>74.5</v>
      </c>
    </row>
    <row r="118" spans="1:8">
      <c r="A118" s="1">
        <v>2022</v>
      </c>
      <c r="B118" s="1">
        <v>6</v>
      </c>
      <c r="C118" s="1" t="s">
        <v>15</v>
      </c>
      <c r="D118" s="1" t="s">
        <v>51</v>
      </c>
      <c r="E118" s="1" t="s">
        <v>18</v>
      </c>
      <c r="F118" s="2">
        <v>14.9</v>
      </c>
      <c r="G118" s="1">
        <v>30</v>
      </c>
      <c r="H118" s="2">
        <v>447</v>
      </c>
    </row>
    <row r="119" spans="1:8">
      <c r="A119" s="1">
        <v>2021</v>
      </c>
      <c r="B119" s="1">
        <v>6</v>
      </c>
      <c r="C119" s="1" t="s">
        <v>19</v>
      </c>
      <c r="D119" s="1" t="s">
        <v>109</v>
      </c>
      <c r="E119" s="1" t="s">
        <v>12</v>
      </c>
      <c r="F119" s="2">
        <v>19.899999999999999</v>
      </c>
      <c r="G119" s="1">
        <v>5</v>
      </c>
      <c r="H119" s="2">
        <v>99.5</v>
      </c>
    </row>
    <row r="120" spans="1:8">
      <c r="A120" s="1">
        <v>2023</v>
      </c>
      <c r="B120" s="1">
        <v>4</v>
      </c>
      <c r="C120" s="1" t="s">
        <v>13</v>
      </c>
      <c r="D120" s="1" t="s">
        <v>110</v>
      </c>
      <c r="E120" s="1" t="s">
        <v>21</v>
      </c>
      <c r="F120" s="2">
        <v>29.9</v>
      </c>
      <c r="G120" s="1">
        <v>22</v>
      </c>
      <c r="H120" s="2">
        <v>657.8</v>
      </c>
    </row>
    <row r="121" spans="1:8">
      <c r="A121" s="1">
        <v>2020</v>
      </c>
      <c r="B121" s="1">
        <v>12</v>
      </c>
      <c r="C121" s="1" t="s">
        <v>25</v>
      </c>
      <c r="D121" s="1" t="s">
        <v>57</v>
      </c>
      <c r="E121" s="1" t="s">
        <v>28</v>
      </c>
      <c r="F121" s="2">
        <v>49.5</v>
      </c>
      <c r="G121" s="1">
        <v>7</v>
      </c>
      <c r="H121" s="2">
        <v>346.5</v>
      </c>
    </row>
    <row r="122" spans="1:8">
      <c r="A122" s="1">
        <v>2021</v>
      </c>
      <c r="B122" s="1">
        <v>4</v>
      </c>
      <c r="C122" s="1" t="s">
        <v>25</v>
      </c>
      <c r="D122" s="1" t="s">
        <v>79</v>
      </c>
      <c r="E122" s="1" t="s">
        <v>24</v>
      </c>
      <c r="F122" s="2">
        <v>9.8000000000000007</v>
      </c>
      <c r="G122" s="1">
        <v>23</v>
      </c>
      <c r="H122" s="2">
        <v>225.4</v>
      </c>
    </row>
    <row r="123" spans="1:8">
      <c r="A123" s="1">
        <v>2021</v>
      </c>
      <c r="B123" s="1">
        <v>8</v>
      </c>
      <c r="C123" s="1" t="s">
        <v>22</v>
      </c>
      <c r="D123" s="1" t="s">
        <v>111</v>
      </c>
      <c r="E123" s="1" t="s">
        <v>21</v>
      </c>
      <c r="F123" s="2">
        <v>29.9</v>
      </c>
      <c r="G123" s="1">
        <v>28</v>
      </c>
      <c r="H123" s="2">
        <v>837.2</v>
      </c>
    </row>
    <row r="124" spans="1:8">
      <c r="A124" s="1">
        <v>2023</v>
      </c>
      <c r="B124" s="1">
        <v>6</v>
      </c>
      <c r="C124" s="1" t="s">
        <v>19</v>
      </c>
      <c r="D124" s="1" t="s">
        <v>93</v>
      </c>
      <c r="E124" s="1" t="s">
        <v>18</v>
      </c>
      <c r="F124" s="2">
        <v>14.9</v>
      </c>
      <c r="G124" s="1">
        <v>13</v>
      </c>
      <c r="H124" s="2">
        <v>193.7</v>
      </c>
    </row>
    <row r="125" spans="1:8">
      <c r="A125" s="1">
        <v>2020</v>
      </c>
      <c r="B125" s="1">
        <v>2</v>
      </c>
      <c r="C125" s="1" t="s">
        <v>8</v>
      </c>
      <c r="D125" s="1" t="s">
        <v>112</v>
      </c>
      <c r="E125" s="1" t="s">
        <v>28</v>
      </c>
      <c r="F125" s="2">
        <v>49.5</v>
      </c>
      <c r="G125" s="1">
        <v>28</v>
      </c>
      <c r="H125" s="2">
        <v>1386</v>
      </c>
    </row>
    <row r="126" spans="1:8">
      <c r="A126" s="1">
        <v>2023</v>
      </c>
      <c r="B126" s="1">
        <v>12</v>
      </c>
      <c r="C126" s="1" t="s">
        <v>15</v>
      </c>
      <c r="D126" s="1" t="s">
        <v>14</v>
      </c>
      <c r="E126" s="1" t="s">
        <v>24</v>
      </c>
      <c r="F126" s="2">
        <v>9.8000000000000007</v>
      </c>
      <c r="G126" s="1">
        <v>20</v>
      </c>
      <c r="H126" s="2">
        <v>196</v>
      </c>
    </row>
    <row r="127" spans="1:8">
      <c r="A127" s="1">
        <v>2021</v>
      </c>
      <c r="B127" s="1">
        <v>12</v>
      </c>
      <c r="C127" s="1" t="s">
        <v>22</v>
      </c>
      <c r="D127" s="1" t="s">
        <v>113</v>
      </c>
      <c r="E127" s="1" t="s">
        <v>18</v>
      </c>
      <c r="F127" s="2">
        <v>14.9</v>
      </c>
      <c r="G127" s="1">
        <v>8</v>
      </c>
      <c r="H127" s="2">
        <v>119.2</v>
      </c>
    </row>
    <row r="128" spans="1:8">
      <c r="A128" s="1">
        <v>2020</v>
      </c>
      <c r="B128" s="1">
        <v>5</v>
      </c>
      <c r="C128" s="1" t="s">
        <v>15</v>
      </c>
      <c r="D128" s="1" t="s">
        <v>114</v>
      </c>
      <c r="E128" s="1" t="s">
        <v>18</v>
      </c>
      <c r="F128" s="2">
        <v>14.9</v>
      </c>
      <c r="G128" s="1">
        <v>5</v>
      </c>
      <c r="H128" s="2">
        <v>74.5</v>
      </c>
    </row>
    <row r="129" spans="1:8">
      <c r="A129" s="1">
        <v>2023</v>
      </c>
      <c r="B129" s="1">
        <v>3</v>
      </c>
      <c r="C129" s="1" t="s">
        <v>19</v>
      </c>
      <c r="D129" s="1" t="s">
        <v>115</v>
      </c>
      <c r="E129" s="1" t="s">
        <v>12</v>
      </c>
      <c r="F129" s="2">
        <v>19.899999999999999</v>
      </c>
      <c r="G129" s="1">
        <v>14</v>
      </c>
      <c r="H129" s="2">
        <v>278.60000000000002</v>
      </c>
    </row>
    <row r="130" spans="1:8">
      <c r="A130" s="1">
        <v>2020</v>
      </c>
      <c r="B130" s="1">
        <v>11</v>
      </c>
      <c r="C130" s="1" t="s">
        <v>25</v>
      </c>
      <c r="D130" s="1" t="s">
        <v>54</v>
      </c>
      <c r="E130" s="1" t="s">
        <v>12</v>
      </c>
      <c r="F130" s="2">
        <v>19.899999999999999</v>
      </c>
      <c r="G130" s="1">
        <v>14</v>
      </c>
      <c r="H130" s="2">
        <v>278.60000000000002</v>
      </c>
    </row>
    <row r="131" spans="1:8">
      <c r="A131" s="1">
        <v>2022</v>
      </c>
      <c r="B131" s="1">
        <v>8</v>
      </c>
      <c r="C131" s="1" t="s">
        <v>25</v>
      </c>
      <c r="D131" s="1" t="s">
        <v>116</v>
      </c>
      <c r="E131" s="1" t="s">
        <v>28</v>
      </c>
      <c r="F131" s="2">
        <v>49.5</v>
      </c>
      <c r="G131" s="1">
        <v>13</v>
      </c>
      <c r="H131" s="2">
        <v>643.5</v>
      </c>
    </row>
    <row r="132" spans="1:8">
      <c r="A132" s="1">
        <v>2022</v>
      </c>
      <c r="B132" s="1">
        <v>2</v>
      </c>
      <c r="C132" s="1" t="s">
        <v>13</v>
      </c>
      <c r="D132" s="1" t="s">
        <v>117</v>
      </c>
      <c r="E132" s="1" t="s">
        <v>28</v>
      </c>
      <c r="F132" s="2">
        <v>49.5</v>
      </c>
      <c r="G132" s="1">
        <v>23</v>
      </c>
      <c r="H132" s="2">
        <v>1138.5</v>
      </c>
    </row>
    <row r="133" spans="1:8">
      <c r="A133" s="1">
        <v>2019</v>
      </c>
      <c r="B133" s="1">
        <v>3</v>
      </c>
      <c r="C133" s="1" t="s">
        <v>15</v>
      </c>
      <c r="D133" s="1" t="s">
        <v>118</v>
      </c>
      <c r="E133" s="1" t="s">
        <v>28</v>
      </c>
      <c r="F133" s="2">
        <v>49.5</v>
      </c>
      <c r="G133" s="1">
        <v>12</v>
      </c>
      <c r="H133" s="2">
        <v>594</v>
      </c>
    </row>
    <row r="134" spans="1:8">
      <c r="A134" s="1">
        <v>2019</v>
      </c>
      <c r="B134" s="1">
        <v>9</v>
      </c>
      <c r="C134" s="1" t="s">
        <v>25</v>
      </c>
      <c r="D134" s="1" t="s">
        <v>119</v>
      </c>
      <c r="E134" s="1" t="s">
        <v>12</v>
      </c>
      <c r="F134" s="2">
        <v>19.899999999999999</v>
      </c>
      <c r="G134" s="1">
        <v>12</v>
      </c>
      <c r="H134" s="2">
        <v>238.8</v>
      </c>
    </row>
    <row r="135" spans="1:8">
      <c r="A135" s="1">
        <v>2023</v>
      </c>
      <c r="B135" s="1">
        <v>7</v>
      </c>
      <c r="C135" s="1" t="s">
        <v>25</v>
      </c>
      <c r="D135" s="1" t="s">
        <v>93</v>
      </c>
      <c r="E135" s="1" t="s">
        <v>12</v>
      </c>
      <c r="F135" s="2">
        <v>19.899999999999999</v>
      </c>
      <c r="G135" s="1">
        <v>18</v>
      </c>
      <c r="H135" s="2">
        <v>358.2</v>
      </c>
    </row>
    <row r="136" spans="1:8">
      <c r="A136" s="1">
        <v>2021</v>
      </c>
      <c r="B136" s="1">
        <v>10</v>
      </c>
      <c r="C136" s="1" t="s">
        <v>22</v>
      </c>
      <c r="D136" s="1" t="s">
        <v>120</v>
      </c>
      <c r="E136" s="1" t="s">
        <v>24</v>
      </c>
      <c r="F136" s="2">
        <v>9.8000000000000007</v>
      </c>
      <c r="G136" s="1">
        <v>8</v>
      </c>
      <c r="H136" s="2">
        <v>78.400000000000006</v>
      </c>
    </row>
    <row r="137" spans="1:8">
      <c r="A137" s="1">
        <v>2020</v>
      </c>
      <c r="B137" s="1">
        <v>11</v>
      </c>
      <c r="C137" s="1" t="s">
        <v>15</v>
      </c>
      <c r="D137" s="1" t="s">
        <v>121</v>
      </c>
      <c r="E137" s="1" t="s">
        <v>10</v>
      </c>
      <c r="F137" s="2">
        <v>15.8</v>
      </c>
      <c r="G137" s="1">
        <v>12</v>
      </c>
      <c r="H137" s="2">
        <v>189.6</v>
      </c>
    </row>
    <row r="138" spans="1:8">
      <c r="A138" s="1">
        <v>2020</v>
      </c>
      <c r="B138" s="1">
        <v>9</v>
      </c>
      <c r="C138" s="1" t="s">
        <v>13</v>
      </c>
      <c r="D138" s="1" t="s">
        <v>100</v>
      </c>
      <c r="E138" s="1" t="s">
        <v>21</v>
      </c>
      <c r="F138" s="2">
        <v>29.9</v>
      </c>
      <c r="G138" s="1">
        <v>19</v>
      </c>
      <c r="H138" s="2">
        <v>568.1</v>
      </c>
    </row>
    <row r="139" spans="1:8">
      <c r="A139" s="1">
        <v>2023</v>
      </c>
      <c r="B139" s="1">
        <v>8</v>
      </c>
      <c r="C139" s="1" t="s">
        <v>19</v>
      </c>
      <c r="D139" s="1" t="s">
        <v>89</v>
      </c>
      <c r="E139" s="1" t="s">
        <v>18</v>
      </c>
      <c r="F139" s="2">
        <v>14.9</v>
      </c>
      <c r="G139" s="1">
        <v>27</v>
      </c>
      <c r="H139" s="2">
        <v>402.3</v>
      </c>
    </row>
    <row r="140" spans="1:8">
      <c r="A140" s="1">
        <v>2021</v>
      </c>
      <c r="B140" s="1">
        <v>12</v>
      </c>
      <c r="C140" s="1" t="s">
        <v>25</v>
      </c>
      <c r="D140" s="1" t="s">
        <v>34</v>
      </c>
      <c r="E140" s="1" t="s">
        <v>18</v>
      </c>
      <c r="F140" s="2">
        <v>14.9</v>
      </c>
      <c r="G140" s="1">
        <v>30</v>
      </c>
      <c r="H140" s="2">
        <v>447</v>
      </c>
    </row>
    <row r="141" spans="1:8">
      <c r="A141" s="1">
        <v>2023</v>
      </c>
      <c r="B141" s="1">
        <v>11</v>
      </c>
      <c r="C141" s="1" t="s">
        <v>15</v>
      </c>
      <c r="D141" s="1" t="s">
        <v>122</v>
      </c>
      <c r="E141" s="1" t="s">
        <v>12</v>
      </c>
      <c r="F141" s="2">
        <v>19.899999999999999</v>
      </c>
      <c r="G141" s="1">
        <v>12</v>
      </c>
      <c r="H141" s="2">
        <v>238.8</v>
      </c>
    </row>
    <row r="142" spans="1:8">
      <c r="A142" s="1">
        <v>2020</v>
      </c>
      <c r="B142" s="1">
        <v>5</v>
      </c>
      <c r="C142" s="1" t="s">
        <v>15</v>
      </c>
      <c r="D142" s="1" t="s">
        <v>66</v>
      </c>
      <c r="E142" s="1" t="s">
        <v>10</v>
      </c>
      <c r="F142" s="2">
        <v>15.8</v>
      </c>
      <c r="G142" s="1">
        <v>30</v>
      </c>
      <c r="H142" s="2">
        <v>474</v>
      </c>
    </row>
    <row r="143" spans="1:8">
      <c r="A143" s="1">
        <v>2021</v>
      </c>
      <c r="B143" s="1">
        <v>10</v>
      </c>
      <c r="C143" s="1" t="s">
        <v>8</v>
      </c>
      <c r="D143" s="1" t="s">
        <v>118</v>
      </c>
      <c r="E143" s="1" t="s">
        <v>21</v>
      </c>
      <c r="F143" s="2">
        <v>29.9</v>
      </c>
      <c r="G143" s="1">
        <v>8</v>
      </c>
      <c r="H143" s="2">
        <v>239.2</v>
      </c>
    </row>
    <row r="144" spans="1:8">
      <c r="A144" s="1">
        <v>2022</v>
      </c>
      <c r="B144" s="1">
        <v>12</v>
      </c>
      <c r="C144" s="1" t="s">
        <v>19</v>
      </c>
      <c r="D144" s="1" t="s">
        <v>123</v>
      </c>
      <c r="E144" s="1" t="s">
        <v>12</v>
      </c>
      <c r="F144" s="2">
        <v>19.899999999999999</v>
      </c>
      <c r="G144" s="1">
        <v>22</v>
      </c>
      <c r="H144" s="2">
        <v>437.8</v>
      </c>
    </row>
    <row r="145" spans="1:8">
      <c r="A145" s="1">
        <v>2022</v>
      </c>
      <c r="B145" s="1">
        <v>8</v>
      </c>
      <c r="C145" s="1" t="s">
        <v>13</v>
      </c>
      <c r="D145" s="1" t="s">
        <v>124</v>
      </c>
      <c r="E145" s="1" t="s">
        <v>21</v>
      </c>
      <c r="F145" s="2">
        <v>29.9</v>
      </c>
      <c r="G145" s="1">
        <v>28</v>
      </c>
      <c r="H145" s="2">
        <v>837.2</v>
      </c>
    </row>
    <row r="146" spans="1:8">
      <c r="A146" s="1">
        <v>2021</v>
      </c>
      <c r="B146" s="1">
        <v>10</v>
      </c>
      <c r="C146" s="1" t="s">
        <v>19</v>
      </c>
      <c r="D146" s="1" t="s">
        <v>125</v>
      </c>
      <c r="E146" s="1" t="s">
        <v>10</v>
      </c>
      <c r="F146" s="2">
        <v>15.8</v>
      </c>
      <c r="G146" s="1">
        <v>26</v>
      </c>
      <c r="H146" s="2">
        <v>410.8</v>
      </c>
    </row>
    <row r="147" spans="1:8">
      <c r="A147" s="1">
        <v>2023</v>
      </c>
      <c r="B147" s="1">
        <v>10</v>
      </c>
      <c r="C147" s="1" t="s">
        <v>13</v>
      </c>
      <c r="D147" s="1" t="s">
        <v>126</v>
      </c>
      <c r="E147" s="1" t="s">
        <v>28</v>
      </c>
      <c r="F147" s="2">
        <v>49.5</v>
      </c>
      <c r="G147" s="1">
        <v>29</v>
      </c>
      <c r="H147" s="2">
        <v>1435.5</v>
      </c>
    </row>
    <row r="148" spans="1:8">
      <c r="A148" s="1">
        <v>2020</v>
      </c>
      <c r="B148" s="1">
        <v>8</v>
      </c>
      <c r="C148" s="1" t="s">
        <v>22</v>
      </c>
      <c r="D148" s="1" t="s">
        <v>93</v>
      </c>
      <c r="E148" s="1" t="s">
        <v>10</v>
      </c>
      <c r="F148" s="2">
        <v>15.8</v>
      </c>
      <c r="G148" s="1">
        <v>23</v>
      </c>
      <c r="H148" s="2">
        <v>363.4</v>
      </c>
    </row>
    <row r="149" spans="1:8">
      <c r="A149" s="1">
        <v>2022</v>
      </c>
      <c r="B149" s="1">
        <v>11</v>
      </c>
      <c r="C149" s="1" t="s">
        <v>25</v>
      </c>
      <c r="D149" s="1" t="s">
        <v>127</v>
      </c>
      <c r="E149" s="1" t="s">
        <v>18</v>
      </c>
      <c r="F149" s="2">
        <v>14.9</v>
      </c>
      <c r="G149" s="1">
        <v>18</v>
      </c>
      <c r="H149" s="2">
        <v>268.2</v>
      </c>
    </row>
    <row r="150" spans="1:8">
      <c r="A150" s="1">
        <v>2021</v>
      </c>
      <c r="B150" s="1">
        <v>6</v>
      </c>
      <c r="C150" s="1" t="s">
        <v>8</v>
      </c>
      <c r="D150" s="1" t="s">
        <v>102</v>
      </c>
      <c r="E150" s="1" t="s">
        <v>18</v>
      </c>
      <c r="F150" s="2">
        <v>14.9</v>
      </c>
      <c r="G150" s="1">
        <v>18</v>
      </c>
      <c r="H150" s="2">
        <v>268.2</v>
      </c>
    </row>
    <row r="151" spans="1:8">
      <c r="A151" s="1">
        <v>2022</v>
      </c>
      <c r="B151" s="1">
        <v>5</v>
      </c>
      <c r="C151" s="1" t="s">
        <v>8</v>
      </c>
      <c r="D151" s="1" t="s">
        <v>128</v>
      </c>
      <c r="E151" s="1" t="s">
        <v>28</v>
      </c>
      <c r="F151" s="2">
        <v>49.5</v>
      </c>
      <c r="G151" s="1">
        <v>19</v>
      </c>
      <c r="H151" s="2">
        <v>940.5</v>
      </c>
    </row>
    <row r="152" spans="1:8">
      <c r="A152" s="1">
        <v>2019</v>
      </c>
      <c r="B152" s="1">
        <v>6</v>
      </c>
      <c r="C152" s="1" t="s">
        <v>19</v>
      </c>
      <c r="D152" s="1" t="s">
        <v>129</v>
      </c>
      <c r="E152" s="1" t="s">
        <v>21</v>
      </c>
      <c r="F152" s="2">
        <v>29.9</v>
      </c>
      <c r="G152" s="1">
        <v>21</v>
      </c>
      <c r="H152" s="2">
        <v>627.9</v>
      </c>
    </row>
    <row r="153" spans="1:8">
      <c r="A153" s="1">
        <v>2019</v>
      </c>
      <c r="B153" s="1">
        <v>11</v>
      </c>
      <c r="C153" s="1" t="s">
        <v>22</v>
      </c>
      <c r="D153" s="1" t="s">
        <v>130</v>
      </c>
      <c r="E153" s="1" t="s">
        <v>28</v>
      </c>
      <c r="F153" s="2">
        <v>49.5</v>
      </c>
      <c r="G153" s="1">
        <v>11</v>
      </c>
      <c r="H153" s="2">
        <v>544.5</v>
      </c>
    </row>
    <row r="154" spans="1:8">
      <c r="A154" s="1">
        <v>2023</v>
      </c>
      <c r="B154" s="1">
        <v>6</v>
      </c>
      <c r="C154" s="1" t="s">
        <v>22</v>
      </c>
      <c r="D154" s="1" t="s">
        <v>57</v>
      </c>
      <c r="E154" s="1" t="s">
        <v>28</v>
      </c>
      <c r="F154" s="2">
        <v>49.5</v>
      </c>
      <c r="G154" s="1">
        <v>11</v>
      </c>
      <c r="H154" s="2">
        <v>544.5</v>
      </c>
    </row>
    <row r="155" spans="1:8">
      <c r="A155" s="1">
        <v>2021</v>
      </c>
      <c r="B155" s="1">
        <v>9</v>
      </c>
      <c r="C155" s="1" t="s">
        <v>15</v>
      </c>
      <c r="D155" s="1" t="s">
        <v>131</v>
      </c>
      <c r="E155" s="1" t="s">
        <v>24</v>
      </c>
      <c r="F155" s="2">
        <v>9.8000000000000007</v>
      </c>
      <c r="G155" s="1">
        <v>20</v>
      </c>
      <c r="H155" s="2">
        <v>196</v>
      </c>
    </row>
    <row r="156" spans="1:8">
      <c r="A156" s="1">
        <v>2019</v>
      </c>
      <c r="B156" s="1">
        <v>1</v>
      </c>
      <c r="C156" s="1" t="s">
        <v>8</v>
      </c>
      <c r="D156" s="1" t="s">
        <v>132</v>
      </c>
      <c r="E156" s="1" t="s">
        <v>24</v>
      </c>
      <c r="F156" s="2">
        <v>9.8000000000000007</v>
      </c>
      <c r="G156" s="1">
        <v>10</v>
      </c>
      <c r="H156" s="2">
        <v>98</v>
      </c>
    </row>
    <row r="157" spans="1:8">
      <c r="A157" s="1">
        <v>2021</v>
      </c>
      <c r="B157" s="1">
        <v>9</v>
      </c>
      <c r="C157" s="1" t="s">
        <v>13</v>
      </c>
      <c r="D157" s="1" t="s">
        <v>16</v>
      </c>
      <c r="E157" s="1" t="s">
        <v>28</v>
      </c>
      <c r="F157" s="2">
        <v>49.5</v>
      </c>
      <c r="G157" s="1">
        <v>12</v>
      </c>
      <c r="H157" s="2">
        <v>594</v>
      </c>
    </row>
    <row r="158" spans="1:8">
      <c r="A158" s="1">
        <v>2019</v>
      </c>
      <c r="B158" s="1">
        <v>8</v>
      </c>
      <c r="C158" s="1" t="s">
        <v>13</v>
      </c>
      <c r="D158" s="1" t="s">
        <v>47</v>
      </c>
      <c r="E158" s="1" t="s">
        <v>24</v>
      </c>
      <c r="F158" s="2">
        <v>9.8000000000000007</v>
      </c>
      <c r="G158" s="1">
        <v>14</v>
      </c>
      <c r="H158" s="2">
        <v>137.19999999999999</v>
      </c>
    </row>
    <row r="159" spans="1:8">
      <c r="A159" s="1">
        <v>2023</v>
      </c>
      <c r="B159" s="1">
        <v>12</v>
      </c>
      <c r="C159" s="1" t="s">
        <v>19</v>
      </c>
      <c r="D159" s="1" t="s">
        <v>133</v>
      </c>
      <c r="E159" s="1" t="s">
        <v>21</v>
      </c>
      <c r="F159" s="2">
        <v>29.9</v>
      </c>
      <c r="G159" s="1">
        <v>12</v>
      </c>
      <c r="H159" s="2">
        <v>358.8</v>
      </c>
    </row>
    <row r="160" spans="1:8">
      <c r="A160" s="1">
        <v>2022</v>
      </c>
      <c r="B160" s="1">
        <v>9</v>
      </c>
      <c r="C160" s="1" t="s">
        <v>15</v>
      </c>
      <c r="D160" s="1" t="s">
        <v>134</v>
      </c>
      <c r="E160" s="1" t="s">
        <v>12</v>
      </c>
      <c r="F160" s="2">
        <v>19.899999999999999</v>
      </c>
      <c r="G160" s="1">
        <v>21</v>
      </c>
      <c r="H160" s="2">
        <v>417.9</v>
      </c>
    </row>
    <row r="161" spans="1:8">
      <c r="A161" s="1">
        <v>2020</v>
      </c>
      <c r="B161" s="1">
        <v>2</v>
      </c>
      <c r="C161" s="1" t="s">
        <v>19</v>
      </c>
      <c r="D161" s="1" t="s">
        <v>53</v>
      </c>
      <c r="E161" s="1" t="s">
        <v>12</v>
      </c>
      <c r="F161" s="2">
        <v>19.899999999999999</v>
      </c>
      <c r="G161" s="1">
        <v>13</v>
      </c>
      <c r="H161" s="2">
        <v>258.7</v>
      </c>
    </row>
    <row r="162" spans="1:8">
      <c r="A162" s="1">
        <v>2019</v>
      </c>
      <c r="B162" s="1">
        <v>5</v>
      </c>
      <c r="C162" s="1" t="s">
        <v>8</v>
      </c>
      <c r="D162" s="1" t="s">
        <v>69</v>
      </c>
      <c r="E162" s="1" t="s">
        <v>12</v>
      </c>
      <c r="F162" s="2">
        <v>19.899999999999999</v>
      </c>
      <c r="G162" s="1">
        <v>26</v>
      </c>
      <c r="H162" s="2">
        <v>517.4</v>
      </c>
    </row>
    <row r="163" spans="1:8">
      <c r="A163" s="1">
        <v>2022</v>
      </c>
      <c r="B163" s="1">
        <v>3</v>
      </c>
      <c r="C163" s="1" t="s">
        <v>25</v>
      </c>
      <c r="D163" s="1" t="s">
        <v>59</v>
      </c>
      <c r="E163" s="1" t="s">
        <v>18</v>
      </c>
      <c r="F163" s="2">
        <v>14.9</v>
      </c>
      <c r="G163" s="1">
        <v>15</v>
      </c>
      <c r="H163" s="2">
        <v>223.5</v>
      </c>
    </row>
    <row r="164" spans="1:8">
      <c r="A164" s="1">
        <v>2023</v>
      </c>
      <c r="B164" s="1">
        <v>9</v>
      </c>
      <c r="C164" s="1" t="s">
        <v>25</v>
      </c>
      <c r="D164" s="1" t="s">
        <v>135</v>
      </c>
      <c r="E164" s="1" t="s">
        <v>10</v>
      </c>
      <c r="F164" s="2">
        <v>15.8</v>
      </c>
      <c r="G164" s="1">
        <v>27</v>
      </c>
      <c r="H164" s="2">
        <v>426.6</v>
      </c>
    </row>
    <row r="165" spans="1:8">
      <c r="A165" s="1">
        <v>2020</v>
      </c>
      <c r="B165" s="1">
        <v>10</v>
      </c>
      <c r="C165" s="1" t="s">
        <v>25</v>
      </c>
      <c r="D165" s="1" t="s">
        <v>110</v>
      </c>
      <c r="E165" s="1" t="s">
        <v>28</v>
      </c>
      <c r="F165" s="2">
        <v>49.5</v>
      </c>
      <c r="G165" s="1">
        <v>15</v>
      </c>
      <c r="H165" s="2">
        <v>742.5</v>
      </c>
    </row>
    <row r="166" spans="1:8">
      <c r="A166" s="1">
        <v>2022</v>
      </c>
      <c r="B166" s="1">
        <v>12</v>
      </c>
      <c r="C166" s="1" t="s">
        <v>25</v>
      </c>
      <c r="D166" s="1" t="s">
        <v>65</v>
      </c>
      <c r="E166" s="1" t="s">
        <v>21</v>
      </c>
      <c r="F166" s="2">
        <v>29.9</v>
      </c>
      <c r="G166" s="1">
        <v>6</v>
      </c>
      <c r="H166" s="2">
        <v>179.4</v>
      </c>
    </row>
    <row r="167" spans="1:8">
      <c r="A167" s="1">
        <v>2020</v>
      </c>
      <c r="B167" s="1">
        <v>9</v>
      </c>
      <c r="C167" s="1" t="s">
        <v>22</v>
      </c>
      <c r="D167" s="1" t="s">
        <v>129</v>
      </c>
      <c r="E167" s="1" t="s">
        <v>21</v>
      </c>
      <c r="F167" s="2">
        <v>29.9</v>
      </c>
      <c r="G167" s="1">
        <v>8</v>
      </c>
      <c r="H167" s="2">
        <v>239.2</v>
      </c>
    </row>
    <row r="168" spans="1:8">
      <c r="A168" s="1">
        <v>2023</v>
      </c>
      <c r="B168" s="1">
        <v>8</v>
      </c>
      <c r="C168" s="1" t="s">
        <v>13</v>
      </c>
      <c r="D168" s="1" t="s">
        <v>75</v>
      </c>
      <c r="E168" s="1" t="s">
        <v>24</v>
      </c>
      <c r="F168" s="2">
        <v>9.8000000000000007</v>
      </c>
      <c r="G168" s="1">
        <v>9</v>
      </c>
      <c r="H168" s="2">
        <v>88.2</v>
      </c>
    </row>
    <row r="169" spans="1:8">
      <c r="A169" s="1">
        <v>2019</v>
      </c>
      <c r="B169" s="1">
        <v>8</v>
      </c>
      <c r="C169" s="1" t="s">
        <v>19</v>
      </c>
      <c r="D169" s="1" t="s">
        <v>136</v>
      </c>
      <c r="E169" s="1" t="s">
        <v>24</v>
      </c>
      <c r="F169" s="2">
        <v>9.8000000000000007</v>
      </c>
      <c r="G169" s="1">
        <v>17</v>
      </c>
      <c r="H169" s="2">
        <v>166.6</v>
      </c>
    </row>
    <row r="170" spans="1:8">
      <c r="A170" s="1">
        <v>2019</v>
      </c>
      <c r="B170" s="1">
        <v>6</v>
      </c>
      <c r="C170" s="1" t="s">
        <v>8</v>
      </c>
      <c r="D170" s="1" t="s">
        <v>16</v>
      </c>
      <c r="E170" s="1" t="s">
        <v>18</v>
      </c>
      <c r="F170" s="2">
        <v>14.9</v>
      </c>
      <c r="G170" s="1">
        <v>25</v>
      </c>
      <c r="H170" s="2">
        <v>372.5</v>
      </c>
    </row>
    <row r="171" spans="1:8">
      <c r="A171" s="1">
        <v>2022</v>
      </c>
      <c r="B171" s="1">
        <v>9</v>
      </c>
      <c r="C171" s="1" t="s">
        <v>13</v>
      </c>
      <c r="D171" s="1" t="s">
        <v>39</v>
      </c>
      <c r="E171" s="1" t="s">
        <v>10</v>
      </c>
      <c r="F171" s="2">
        <v>15.8</v>
      </c>
      <c r="G171" s="1">
        <v>25</v>
      </c>
      <c r="H171" s="2">
        <v>395</v>
      </c>
    </row>
    <row r="172" spans="1:8">
      <c r="A172" s="1">
        <v>2021</v>
      </c>
      <c r="B172" s="1">
        <v>4</v>
      </c>
      <c r="C172" s="1" t="s">
        <v>8</v>
      </c>
      <c r="D172" s="1" t="s">
        <v>137</v>
      </c>
      <c r="E172" s="1" t="s">
        <v>28</v>
      </c>
      <c r="F172" s="2">
        <v>49.5</v>
      </c>
      <c r="G172" s="1">
        <v>29</v>
      </c>
      <c r="H172" s="2">
        <v>1435.5</v>
      </c>
    </row>
    <row r="173" spans="1:8">
      <c r="A173" s="1">
        <v>2019</v>
      </c>
      <c r="B173" s="1">
        <v>8</v>
      </c>
      <c r="C173" s="1" t="s">
        <v>15</v>
      </c>
      <c r="D173" s="1" t="s">
        <v>138</v>
      </c>
      <c r="E173" s="1" t="s">
        <v>28</v>
      </c>
      <c r="F173" s="2">
        <v>49.5</v>
      </c>
      <c r="G173" s="1">
        <v>15</v>
      </c>
      <c r="H173" s="2">
        <v>742.5</v>
      </c>
    </row>
    <row r="174" spans="1:8">
      <c r="A174" s="1">
        <v>2019</v>
      </c>
      <c r="B174" s="1">
        <v>5</v>
      </c>
      <c r="C174" s="1" t="s">
        <v>19</v>
      </c>
      <c r="D174" s="1" t="s">
        <v>139</v>
      </c>
      <c r="E174" s="1" t="s">
        <v>10</v>
      </c>
      <c r="F174" s="2">
        <v>15.8</v>
      </c>
      <c r="G174" s="1">
        <v>12</v>
      </c>
      <c r="H174" s="2">
        <v>189.6</v>
      </c>
    </row>
    <row r="175" spans="1:8">
      <c r="A175" s="1">
        <v>2023</v>
      </c>
      <c r="B175" s="1">
        <v>7</v>
      </c>
      <c r="C175" s="1" t="s">
        <v>22</v>
      </c>
      <c r="D175" s="1" t="s">
        <v>140</v>
      </c>
      <c r="E175" s="1" t="s">
        <v>10</v>
      </c>
      <c r="F175" s="2">
        <v>15.8</v>
      </c>
      <c r="G175" s="1">
        <v>7</v>
      </c>
      <c r="H175" s="2">
        <v>110.6</v>
      </c>
    </row>
    <row r="176" spans="1:8">
      <c r="A176" s="1">
        <v>2023</v>
      </c>
      <c r="B176" s="1">
        <v>7</v>
      </c>
      <c r="C176" s="1" t="s">
        <v>22</v>
      </c>
      <c r="D176" s="1" t="s">
        <v>52</v>
      </c>
      <c r="E176" s="1" t="s">
        <v>12</v>
      </c>
      <c r="F176" s="2">
        <v>19.899999999999999</v>
      </c>
      <c r="G176" s="1">
        <v>9</v>
      </c>
      <c r="H176" s="2">
        <v>179.1</v>
      </c>
    </row>
    <row r="177" spans="1:8">
      <c r="A177" s="1">
        <v>2020</v>
      </c>
      <c r="B177" s="1">
        <v>8</v>
      </c>
      <c r="C177" s="1" t="s">
        <v>8</v>
      </c>
      <c r="D177" s="1" t="s">
        <v>55</v>
      </c>
      <c r="E177" s="1" t="s">
        <v>18</v>
      </c>
      <c r="F177" s="2">
        <v>14.9</v>
      </c>
      <c r="G177" s="1">
        <v>26</v>
      </c>
      <c r="H177" s="2">
        <v>387.4</v>
      </c>
    </row>
    <row r="178" spans="1:8">
      <c r="A178" s="1">
        <v>2019</v>
      </c>
      <c r="B178" s="1">
        <v>8</v>
      </c>
      <c r="C178" s="1" t="s">
        <v>19</v>
      </c>
      <c r="D178" s="1" t="s">
        <v>71</v>
      </c>
      <c r="E178" s="1" t="s">
        <v>28</v>
      </c>
      <c r="F178" s="2">
        <v>49.5</v>
      </c>
      <c r="G178" s="1">
        <v>19</v>
      </c>
      <c r="H178" s="2">
        <v>940.5</v>
      </c>
    </row>
    <row r="179" spans="1:8">
      <c r="A179" s="1">
        <v>2021</v>
      </c>
      <c r="B179" s="1">
        <v>10</v>
      </c>
      <c r="C179" s="1" t="s">
        <v>19</v>
      </c>
      <c r="D179" s="1" t="s">
        <v>141</v>
      </c>
      <c r="E179" s="1" t="s">
        <v>21</v>
      </c>
      <c r="F179" s="2">
        <v>29.9</v>
      </c>
      <c r="G179" s="1">
        <v>14</v>
      </c>
      <c r="H179" s="2">
        <v>418.6</v>
      </c>
    </row>
    <row r="180" spans="1:8">
      <c r="A180" s="1">
        <v>2020</v>
      </c>
      <c r="B180" s="1">
        <v>7</v>
      </c>
      <c r="C180" s="1" t="s">
        <v>25</v>
      </c>
      <c r="D180" s="1" t="s">
        <v>142</v>
      </c>
      <c r="E180" s="1" t="s">
        <v>21</v>
      </c>
      <c r="F180" s="2">
        <v>29.9</v>
      </c>
      <c r="G180" s="1">
        <v>23</v>
      </c>
      <c r="H180" s="2">
        <v>687.7</v>
      </c>
    </row>
    <row r="181" spans="1:8">
      <c r="A181" s="1">
        <v>2021</v>
      </c>
      <c r="B181" s="1">
        <v>10</v>
      </c>
      <c r="C181" s="1" t="s">
        <v>19</v>
      </c>
      <c r="D181" s="1" t="s">
        <v>138</v>
      </c>
      <c r="E181" s="1" t="s">
        <v>24</v>
      </c>
      <c r="F181" s="2">
        <v>9.8000000000000007</v>
      </c>
      <c r="G181" s="1">
        <v>17</v>
      </c>
      <c r="H181" s="2">
        <v>166.6</v>
      </c>
    </row>
    <row r="182" spans="1:8">
      <c r="A182" s="1">
        <v>2021</v>
      </c>
      <c r="B182" s="1">
        <v>1</v>
      </c>
      <c r="C182" s="1" t="s">
        <v>22</v>
      </c>
      <c r="D182" s="1" t="s">
        <v>120</v>
      </c>
      <c r="E182" s="1" t="s">
        <v>24</v>
      </c>
      <c r="F182" s="2">
        <v>9.8000000000000007</v>
      </c>
      <c r="G182" s="1">
        <v>20</v>
      </c>
      <c r="H182" s="2">
        <v>196</v>
      </c>
    </row>
    <row r="183" spans="1:8">
      <c r="A183" s="1">
        <v>2021</v>
      </c>
      <c r="B183" s="1">
        <v>4</v>
      </c>
      <c r="C183" s="1" t="s">
        <v>22</v>
      </c>
      <c r="D183" s="1" t="s">
        <v>76</v>
      </c>
      <c r="E183" s="1" t="s">
        <v>24</v>
      </c>
      <c r="F183" s="2">
        <v>9.8000000000000007</v>
      </c>
      <c r="G183" s="1">
        <v>11</v>
      </c>
      <c r="H183" s="2">
        <v>107.8</v>
      </c>
    </row>
    <row r="184" spans="1:8">
      <c r="A184" s="1">
        <v>2023</v>
      </c>
      <c r="B184" s="1">
        <v>5</v>
      </c>
      <c r="C184" s="1" t="s">
        <v>8</v>
      </c>
      <c r="D184" s="1" t="s">
        <v>143</v>
      </c>
      <c r="E184" s="1" t="s">
        <v>24</v>
      </c>
      <c r="F184" s="2">
        <v>9.8000000000000007</v>
      </c>
      <c r="G184" s="1">
        <v>25</v>
      </c>
      <c r="H184" s="2">
        <v>245</v>
      </c>
    </row>
    <row r="185" spans="1:8">
      <c r="A185" s="1">
        <v>2019</v>
      </c>
      <c r="B185" s="1">
        <v>5</v>
      </c>
      <c r="C185" s="1" t="s">
        <v>25</v>
      </c>
      <c r="D185" s="1" t="s">
        <v>120</v>
      </c>
      <c r="E185" s="1" t="s">
        <v>18</v>
      </c>
      <c r="F185" s="2">
        <v>14.9</v>
      </c>
      <c r="G185" s="1">
        <v>28</v>
      </c>
      <c r="H185" s="2">
        <v>417.2</v>
      </c>
    </row>
    <row r="186" spans="1:8">
      <c r="A186" s="1">
        <v>2020</v>
      </c>
      <c r="B186" s="1">
        <v>2</v>
      </c>
      <c r="C186" s="1" t="s">
        <v>19</v>
      </c>
      <c r="D186" s="1" t="s">
        <v>83</v>
      </c>
      <c r="E186" s="1" t="s">
        <v>10</v>
      </c>
      <c r="F186" s="2">
        <v>15.8</v>
      </c>
      <c r="G186" s="1">
        <v>11</v>
      </c>
      <c r="H186" s="2">
        <v>173.8</v>
      </c>
    </row>
    <row r="187" spans="1:8">
      <c r="A187" s="1">
        <v>2020</v>
      </c>
      <c r="B187" s="1">
        <v>9</v>
      </c>
      <c r="C187" s="1" t="s">
        <v>19</v>
      </c>
      <c r="D187" s="1" t="s">
        <v>144</v>
      </c>
      <c r="E187" s="1" t="s">
        <v>18</v>
      </c>
      <c r="F187" s="2">
        <v>14.9</v>
      </c>
      <c r="G187" s="1">
        <v>10</v>
      </c>
      <c r="H187" s="2">
        <v>149</v>
      </c>
    </row>
    <row r="188" spans="1:8">
      <c r="A188" s="1">
        <v>2021</v>
      </c>
      <c r="B188" s="1">
        <v>8</v>
      </c>
      <c r="C188" s="1" t="s">
        <v>19</v>
      </c>
      <c r="D188" s="1" t="s">
        <v>129</v>
      </c>
      <c r="E188" s="1" t="s">
        <v>21</v>
      </c>
      <c r="F188" s="2">
        <v>29.9</v>
      </c>
      <c r="G188" s="1">
        <v>7</v>
      </c>
      <c r="H188" s="2">
        <v>209.3</v>
      </c>
    </row>
    <row r="189" spans="1:8">
      <c r="A189" s="1">
        <v>2020</v>
      </c>
      <c r="B189" s="1">
        <v>4</v>
      </c>
      <c r="C189" s="1" t="s">
        <v>8</v>
      </c>
      <c r="D189" s="1" t="s">
        <v>128</v>
      </c>
      <c r="E189" s="1" t="s">
        <v>18</v>
      </c>
      <c r="F189" s="2">
        <v>14.9</v>
      </c>
      <c r="G189" s="1">
        <v>7</v>
      </c>
      <c r="H189" s="2">
        <v>104.3</v>
      </c>
    </row>
    <row r="190" spans="1:8">
      <c r="A190" s="1">
        <v>2022</v>
      </c>
      <c r="B190" s="1">
        <v>1</v>
      </c>
      <c r="C190" s="1" t="s">
        <v>19</v>
      </c>
      <c r="D190" s="1" t="s">
        <v>11</v>
      </c>
      <c r="E190" s="1" t="s">
        <v>21</v>
      </c>
      <c r="F190" s="2">
        <v>29.9</v>
      </c>
      <c r="G190" s="1">
        <v>16</v>
      </c>
      <c r="H190" s="2">
        <v>478.4</v>
      </c>
    </row>
    <row r="191" spans="1:8">
      <c r="A191" s="1">
        <v>2021</v>
      </c>
      <c r="B191" s="1">
        <v>10</v>
      </c>
      <c r="C191" s="1" t="s">
        <v>25</v>
      </c>
      <c r="D191" s="1" t="s">
        <v>105</v>
      </c>
      <c r="E191" s="1" t="s">
        <v>24</v>
      </c>
      <c r="F191" s="2">
        <v>9.8000000000000007</v>
      </c>
      <c r="G191" s="1">
        <v>12</v>
      </c>
      <c r="H191" s="2">
        <v>117.6</v>
      </c>
    </row>
    <row r="192" spans="1:8">
      <c r="A192" s="1">
        <v>2022</v>
      </c>
      <c r="B192" s="1">
        <v>1</v>
      </c>
      <c r="C192" s="1" t="s">
        <v>22</v>
      </c>
      <c r="D192" s="1" t="s">
        <v>82</v>
      </c>
      <c r="E192" s="1" t="s">
        <v>12</v>
      </c>
      <c r="F192" s="2">
        <v>19.899999999999999</v>
      </c>
      <c r="G192" s="1">
        <v>12</v>
      </c>
      <c r="H192" s="2">
        <v>238.8</v>
      </c>
    </row>
    <row r="193" spans="1:8">
      <c r="A193" s="1">
        <v>2019</v>
      </c>
      <c r="B193" s="1">
        <v>11</v>
      </c>
      <c r="C193" s="1" t="s">
        <v>25</v>
      </c>
      <c r="D193" s="1" t="s">
        <v>87</v>
      </c>
      <c r="E193" s="1" t="s">
        <v>28</v>
      </c>
      <c r="F193" s="2">
        <v>49.5</v>
      </c>
      <c r="G193" s="1">
        <v>9</v>
      </c>
      <c r="H193" s="2">
        <v>445.5</v>
      </c>
    </row>
    <row r="194" spans="1:8">
      <c r="A194" s="1">
        <v>2019</v>
      </c>
      <c r="B194" s="1">
        <v>1</v>
      </c>
      <c r="C194" s="1" t="s">
        <v>19</v>
      </c>
      <c r="D194" s="1" t="s">
        <v>106</v>
      </c>
      <c r="E194" s="1" t="s">
        <v>28</v>
      </c>
      <c r="F194" s="2">
        <v>49.5</v>
      </c>
      <c r="G194" s="1">
        <v>12</v>
      </c>
      <c r="H194" s="2">
        <v>594</v>
      </c>
    </row>
    <row r="195" spans="1:8">
      <c r="A195" s="1">
        <v>2023</v>
      </c>
      <c r="B195" s="1">
        <v>3</v>
      </c>
      <c r="C195" s="1" t="s">
        <v>25</v>
      </c>
      <c r="D195" s="1" t="s">
        <v>135</v>
      </c>
      <c r="E195" s="1" t="s">
        <v>24</v>
      </c>
      <c r="F195" s="2">
        <v>9.8000000000000007</v>
      </c>
      <c r="G195" s="1">
        <v>28</v>
      </c>
      <c r="H195" s="2">
        <v>274.39999999999998</v>
      </c>
    </row>
    <row r="196" spans="1:8">
      <c r="A196" s="1">
        <v>2023</v>
      </c>
      <c r="B196" s="1">
        <v>7</v>
      </c>
      <c r="C196" s="1" t="s">
        <v>22</v>
      </c>
      <c r="D196" s="1" t="s">
        <v>75</v>
      </c>
      <c r="E196" s="1" t="s">
        <v>24</v>
      </c>
      <c r="F196" s="2">
        <v>9.8000000000000007</v>
      </c>
      <c r="G196" s="1">
        <v>8</v>
      </c>
      <c r="H196" s="2">
        <v>78.400000000000006</v>
      </c>
    </row>
    <row r="197" spans="1:8">
      <c r="A197" s="1">
        <v>2022</v>
      </c>
      <c r="B197" s="1">
        <v>10</v>
      </c>
      <c r="C197" s="1" t="s">
        <v>25</v>
      </c>
      <c r="D197" s="1" t="s">
        <v>23</v>
      </c>
      <c r="E197" s="1" t="s">
        <v>24</v>
      </c>
      <c r="F197" s="2">
        <v>9.8000000000000007</v>
      </c>
      <c r="G197" s="1">
        <v>16</v>
      </c>
      <c r="H197" s="2">
        <v>156.80000000000001</v>
      </c>
    </row>
    <row r="198" spans="1:8">
      <c r="A198" s="1">
        <v>2020</v>
      </c>
      <c r="B198" s="1">
        <v>8</v>
      </c>
      <c r="C198" s="1" t="s">
        <v>25</v>
      </c>
      <c r="D198" s="1" t="s">
        <v>68</v>
      </c>
      <c r="E198" s="1" t="s">
        <v>28</v>
      </c>
      <c r="F198" s="2">
        <v>49.5</v>
      </c>
      <c r="G198" s="1">
        <v>26</v>
      </c>
      <c r="H198" s="2">
        <v>1287</v>
      </c>
    </row>
    <row r="199" spans="1:8">
      <c r="A199" s="1">
        <v>2021</v>
      </c>
      <c r="B199" s="1">
        <v>9</v>
      </c>
      <c r="C199" s="1" t="s">
        <v>8</v>
      </c>
      <c r="D199" s="1" t="s">
        <v>145</v>
      </c>
      <c r="E199" s="1" t="s">
        <v>21</v>
      </c>
      <c r="F199" s="2">
        <v>29.9</v>
      </c>
      <c r="G199" s="1">
        <v>13</v>
      </c>
      <c r="H199" s="2">
        <v>388.7</v>
      </c>
    </row>
    <row r="200" spans="1:8">
      <c r="A200" s="1">
        <v>2020</v>
      </c>
      <c r="B200" s="1">
        <v>2</v>
      </c>
      <c r="C200" s="1" t="s">
        <v>25</v>
      </c>
      <c r="D200" s="1" t="s">
        <v>34</v>
      </c>
      <c r="E200" s="1" t="s">
        <v>24</v>
      </c>
      <c r="F200" s="2">
        <v>9.8000000000000007</v>
      </c>
      <c r="G200" s="1">
        <v>25</v>
      </c>
      <c r="H200" s="2">
        <v>245</v>
      </c>
    </row>
    <row r="201" spans="1:8">
      <c r="A201" s="1">
        <v>2023</v>
      </c>
      <c r="B201" s="1">
        <v>1</v>
      </c>
      <c r="C201" s="1" t="s">
        <v>13</v>
      </c>
      <c r="D201" s="1" t="s">
        <v>72</v>
      </c>
      <c r="E201" s="1" t="s">
        <v>10</v>
      </c>
      <c r="F201" s="2">
        <v>15.8</v>
      </c>
      <c r="G201" s="1">
        <v>30</v>
      </c>
      <c r="H201" s="2">
        <v>474</v>
      </c>
    </row>
    <row r="202" spans="1:8">
      <c r="A202" s="1">
        <v>2023</v>
      </c>
      <c r="B202" s="1">
        <v>4</v>
      </c>
      <c r="C202" s="1" t="s">
        <v>13</v>
      </c>
      <c r="D202" s="1" t="s">
        <v>67</v>
      </c>
      <c r="E202" s="1" t="s">
        <v>12</v>
      </c>
      <c r="F202" s="2">
        <v>19.899999999999999</v>
      </c>
      <c r="G202" s="1">
        <v>11</v>
      </c>
      <c r="H202" s="2">
        <v>218.9</v>
      </c>
    </row>
    <row r="203" spans="1:8">
      <c r="A203" s="1">
        <v>2020</v>
      </c>
      <c r="B203" s="1">
        <v>6</v>
      </c>
      <c r="C203" s="1" t="s">
        <v>15</v>
      </c>
      <c r="D203" s="1" t="s">
        <v>124</v>
      </c>
      <c r="E203" s="1" t="s">
        <v>18</v>
      </c>
      <c r="F203" s="2">
        <v>14.9</v>
      </c>
      <c r="G203" s="1">
        <v>9</v>
      </c>
      <c r="H203" s="2">
        <v>134.1</v>
      </c>
    </row>
    <row r="204" spans="1:8">
      <c r="A204" s="1">
        <v>2020</v>
      </c>
      <c r="B204" s="1">
        <v>9</v>
      </c>
      <c r="C204" s="1" t="s">
        <v>19</v>
      </c>
      <c r="D204" s="1" t="s">
        <v>146</v>
      </c>
      <c r="E204" s="1" t="s">
        <v>24</v>
      </c>
      <c r="F204" s="2">
        <v>9.8000000000000007</v>
      </c>
      <c r="G204" s="1">
        <v>5</v>
      </c>
      <c r="H204" s="2">
        <v>49</v>
      </c>
    </row>
    <row r="205" spans="1:8">
      <c r="A205" s="1">
        <v>2020</v>
      </c>
      <c r="B205" s="1">
        <v>1</v>
      </c>
      <c r="C205" s="1" t="s">
        <v>19</v>
      </c>
      <c r="D205" s="1" t="s">
        <v>147</v>
      </c>
      <c r="E205" s="1" t="s">
        <v>18</v>
      </c>
      <c r="F205" s="2">
        <v>14.9</v>
      </c>
      <c r="G205" s="1">
        <v>5</v>
      </c>
      <c r="H205" s="2">
        <v>74.5</v>
      </c>
    </row>
    <row r="206" spans="1:8">
      <c r="A206" s="1">
        <v>2020</v>
      </c>
      <c r="B206" s="1">
        <v>5</v>
      </c>
      <c r="C206" s="1" t="s">
        <v>13</v>
      </c>
      <c r="D206" s="1" t="s">
        <v>75</v>
      </c>
      <c r="E206" s="1" t="s">
        <v>12</v>
      </c>
      <c r="F206" s="2">
        <v>19.899999999999999</v>
      </c>
      <c r="G206" s="1">
        <v>8</v>
      </c>
      <c r="H206" s="2">
        <v>159.19999999999999</v>
      </c>
    </row>
    <row r="207" spans="1:8">
      <c r="A207" s="1">
        <v>2019</v>
      </c>
      <c r="B207" s="1">
        <v>8</v>
      </c>
      <c r="C207" s="1" t="s">
        <v>25</v>
      </c>
      <c r="D207" s="1" t="s">
        <v>148</v>
      </c>
      <c r="E207" s="1" t="s">
        <v>12</v>
      </c>
      <c r="F207" s="2">
        <v>19.899999999999999</v>
      </c>
      <c r="G207" s="1">
        <v>8</v>
      </c>
      <c r="H207" s="2">
        <v>159.19999999999999</v>
      </c>
    </row>
    <row r="208" spans="1:8">
      <c r="A208" s="1">
        <v>2022</v>
      </c>
      <c r="B208" s="1">
        <v>9</v>
      </c>
      <c r="C208" s="1" t="s">
        <v>15</v>
      </c>
      <c r="D208" s="1" t="s">
        <v>124</v>
      </c>
      <c r="E208" s="1" t="s">
        <v>24</v>
      </c>
      <c r="F208" s="2">
        <v>9.8000000000000007</v>
      </c>
      <c r="G208" s="1">
        <v>30</v>
      </c>
      <c r="H208" s="2">
        <v>294</v>
      </c>
    </row>
    <row r="209" spans="1:8">
      <c r="A209" s="1">
        <v>2023</v>
      </c>
      <c r="B209" s="1">
        <v>5</v>
      </c>
      <c r="C209" s="1" t="s">
        <v>25</v>
      </c>
      <c r="D209" s="1" t="s">
        <v>149</v>
      </c>
      <c r="E209" s="1" t="s">
        <v>21</v>
      </c>
      <c r="F209" s="2">
        <v>29.9</v>
      </c>
      <c r="G209" s="1">
        <v>17</v>
      </c>
      <c r="H209" s="2">
        <v>508.3</v>
      </c>
    </row>
    <row r="210" spans="1:8">
      <c r="A210" s="1">
        <v>2022</v>
      </c>
      <c r="B210" s="1">
        <v>11</v>
      </c>
      <c r="C210" s="1" t="s">
        <v>13</v>
      </c>
      <c r="D210" s="1" t="s">
        <v>57</v>
      </c>
      <c r="E210" s="1" t="s">
        <v>28</v>
      </c>
      <c r="F210" s="2">
        <v>49.5</v>
      </c>
      <c r="G210" s="1">
        <v>7</v>
      </c>
      <c r="H210" s="2">
        <v>346.5</v>
      </c>
    </row>
    <row r="211" spans="1:8">
      <c r="A211" s="1">
        <v>2021</v>
      </c>
      <c r="B211" s="1">
        <v>10</v>
      </c>
      <c r="C211" s="1" t="s">
        <v>15</v>
      </c>
      <c r="D211" s="1" t="s">
        <v>62</v>
      </c>
      <c r="E211" s="1" t="s">
        <v>18</v>
      </c>
      <c r="F211" s="2">
        <v>14.9</v>
      </c>
      <c r="G211" s="1">
        <v>24</v>
      </c>
      <c r="H211" s="2">
        <v>357.6</v>
      </c>
    </row>
    <row r="212" spans="1:8">
      <c r="A212" s="1">
        <v>2023</v>
      </c>
      <c r="B212" s="1">
        <v>9</v>
      </c>
      <c r="C212" s="1" t="s">
        <v>8</v>
      </c>
      <c r="D212" s="1" t="s">
        <v>83</v>
      </c>
      <c r="E212" s="1" t="s">
        <v>12</v>
      </c>
      <c r="F212" s="2">
        <v>19.899999999999999</v>
      </c>
      <c r="G212" s="1">
        <v>21</v>
      </c>
      <c r="H212" s="2">
        <v>417.9</v>
      </c>
    </row>
    <row r="213" spans="1:8">
      <c r="A213" s="1">
        <v>2021</v>
      </c>
      <c r="B213" s="1">
        <v>8</v>
      </c>
      <c r="C213" s="1" t="s">
        <v>22</v>
      </c>
      <c r="D213" s="1" t="s">
        <v>108</v>
      </c>
      <c r="E213" s="1" t="s">
        <v>28</v>
      </c>
      <c r="F213" s="2">
        <v>49.5</v>
      </c>
      <c r="G213" s="1">
        <v>30</v>
      </c>
      <c r="H213" s="2">
        <v>1485</v>
      </c>
    </row>
    <row r="214" spans="1:8">
      <c r="A214" s="1">
        <v>2019</v>
      </c>
      <c r="B214" s="1">
        <v>11</v>
      </c>
      <c r="C214" s="1" t="s">
        <v>8</v>
      </c>
      <c r="D214" s="1" t="s">
        <v>67</v>
      </c>
      <c r="E214" s="1" t="s">
        <v>21</v>
      </c>
      <c r="F214" s="2">
        <v>29.9</v>
      </c>
      <c r="G214" s="1">
        <v>19</v>
      </c>
      <c r="H214" s="2">
        <v>568.1</v>
      </c>
    </row>
    <row r="215" spans="1:8">
      <c r="A215" s="1">
        <v>2020</v>
      </c>
      <c r="B215" s="1">
        <v>7</v>
      </c>
      <c r="C215" s="1" t="s">
        <v>19</v>
      </c>
      <c r="D215" s="1" t="s">
        <v>130</v>
      </c>
      <c r="E215" s="1" t="s">
        <v>21</v>
      </c>
      <c r="F215" s="2">
        <v>29.9</v>
      </c>
      <c r="G215" s="1">
        <v>28</v>
      </c>
      <c r="H215" s="2">
        <v>837.2</v>
      </c>
    </row>
    <row r="216" spans="1:8">
      <c r="A216" s="1">
        <v>2019</v>
      </c>
      <c r="B216" s="1">
        <v>6</v>
      </c>
      <c r="C216" s="1" t="s">
        <v>25</v>
      </c>
      <c r="D216" s="1" t="s">
        <v>64</v>
      </c>
      <c r="E216" s="1" t="s">
        <v>18</v>
      </c>
      <c r="F216" s="2">
        <v>14.9</v>
      </c>
      <c r="G216" s="1">
        <v>9</v>
      </c>
      <c r="H216" s="2">
        <v>134.1</v>
      </c>
    </row>
    <row r="217" spans="1:8">
      <c r="A217" s="1">
        <v>2022</v>
      </c>
      <c r="B217" s="1">
        <v>2</v>
      </c>
      <c r="C217" s="1" t="s">
        <v>13</v>
      </c>
      <c r="D217" s="1" t="s">
        <v>46</v>
      </c>
      <c r="E217" s="1" t="s">
        <v>21</v>
      </c>
      <c r="F217" s="2">
        <v>29.9</v>
      </c>
      <c r="G217" s="1">
        <v>8</v>
      </c>
      <c r="H217" s="2">
        <v>239.2</v>
      </c>
    </row>
    <row r="218" spans="1:8">
      <c r="A218" s="1">
        <v>2021</v>
      </c>
      <c r="B218" s="1">
        <v>3</v>
      </c>
      <c r="C218" s="1" t="s">
        <v>22</v>
      </c>
      <c r="D218" s="1" t="s">
        <v>120</v>
      </c>
      <c r="E218" s="1" t="s">
        <v>12</v>
      </c>
      <c r="F218" s="2">
        <v>19.899999999999999</v>
      </c>
      <c r="G218" s="1">
        <v>22</v>
      </c>
      <c r="H218" s="2">
        <v>437.8</v>
      </c>
    </row>
    <row r="219" spans="1:8">
      <c r="A219" s="1">
        <v>2021</v>
      </c>
      <c r="B219" s="1">
        <v>11</v>
      </c>
      <c r="C219" s="1" t="s">
        <v>13</v>
      </c>
      <c r="D219" s="1" t="s">
        <v>53</v>
      </c>
      <c r="E219" s="1" t="s">
        <v>24</v>
      </c>
      <c r="F219" s="2">
        <v>9.8000000000000007</v>
      </c>
      <c r="G219" s="1">
        <v>29</v>
      </c>
      <c r="H219" s="2">
        <v>284.2</v>
      </c>
    </row>
    <row r="220" spans="1:8">
      <c r="A220" s="1">
        <v>2022</v>
      </c>
      <c r="B220" s="1">
        <v>12</v>
      </c>
      <c r="C220" s="1" t="s">
        <v>13</v>
      </c>
      <c r="D220" s="1" t="s">
        <v>69</v>
      </c>
      <c r="E220" s="1" t="s">
        <v>18</v>
      </c>
      <c r="F220" s="2">
        <v>14.9</v>
      </c>
      <c r="G220" s="1">
        <v>16</v>
      </c>
      <c r="H220" s="2">
        <v>238.4</v>
      </c>
    </row>
    <row r="221" spans="1:8">
      <c r="A221" s="1">
        <v>2019</v>
      </c>
      <c r="B221" s="1">
        <v>10</v>
      </c>
      <c r="C221" s="1" t="s">
        <v>22</v>
      </c>
      <c r="D221" s="1" t="s">
        <v>150</v>
      </c>
      <c r="E221" s="1" t="s">
        <v>24</v>
      </c>
      <c r="F221" s="2">
        <v>9.8000000000000007</v>
      </c>
      <c r="G221" s="1">
        <v>20</v>
      </c>
      <c r="H221" s="2">
        <v>196</v>
      </c>
    </row>
    <row r="222" spans="1:8">
      <c r="A222" s="1">
        <v>2020</v>
      </c>
      <c r="B222" s="1">
        <v>2</v>
      </c>
      <c r="C222" s="1" t="s">
        <v>19</v>
      </c>
      <c r="D222" s="1" t="s">
        <v>82</v>
      </c>
      <c r="E222" s="1" t="s">
        <v>28</v>
      </c>
      <c r="F222" s="2">
        <v>49.5</v>
      </c>
      <c r="G222" s="1">
        <v>29</v>
      </c>
      <c r="H222" s="2">
        <v>1435.5</v>
      </c>
    </row>
    <row r="223" spans="1:8">
      <c r="A223" s="1">
        <v>2021</v>
      </c>
      <c r="B223" s="1">
        <v>10</v>
      </c>
      <c r="C223" s="1" t="s">
        <v>15</v>
      </c>
      <c r="D223" s="1" t="s">
        <v>151</v>
      </c>
      <c r="E223" s="1" t="s">
        <v>12</v>
      </c>
      <c r="F223" s="2">
        <v>19.899999999999999</v>
      </c>
      <c r="G223" s="1">
        <v>24</v>
      </c>
      <c r="H223" s="2">
        <v>477.6</v>
      </c>
    </row>
    <row r="224" spans="1:8">
      <c r="A224" s="1">
        <v>2023</v>
      </c>
      <c r="B224" s="1">
        <v>1</v>
      </c>
      <c r="C224" s="1" t="s">
        <v>22</v>
      </c>
      <c r="D224" s="1" t="s">
        <v>23</v>
      </c>
      <c r="E224" s="1" t="s">
        <v>10</v>
      </c>
      <c r="F224" s="2">
        <v>15.8</v>
      </c>
      <c r="G224" s="1">
        <v>13</v>
      </c>
      <c r="H224" s="2">
        <v>205.4</v>
      </c>
    </row>
    <row r="225" spans="1:8">
      <c r="A225" s="1">
        <v>2021</v>
      </c>
      <c r="B225" s="1">
        <v>6</v>
      </c>
      <c r="C225" s="1" t="s">
        <v>19</v>
      </c>
      <c r="D225" s="1" t="s">
        <v>152</v>
      </c>
      <c r="E225" s="1" t="s">
        <v>10</v>
      </c>
      <c r="F225" s="2">
        <v>15.8</v>
      </c>
      <c r="G225" s="1">
        <v>23</v>
      </c>
      <c r="H225" s="2">
        <v>363.4</v>
      </c>
    </row>
    <row r="226" spans="1:8">
      <c r="A226" s="1">
        <v>2022</v>
      </c>
      <c r="B226" s="1">
        <v>2</v>
      </c>
      <c r="C226" s="1" t="s">
        <v>15</v>
      </c>
      <c r="D226" s="1" t="s">
        <v>125</v>
      </c>
      <c r="E226" s="1" t="s">
        <v>24</v>
      </c>
      <c r="F226" s="2">
        <v>9.8000000000000007</v>
      </c>
      <c r="G226" s="1">
        <v>21</v>
      </c>
      <c r="H226" s="2">
        <v>205.8</v>
      </c>
    </row>
    <row r="227" spans="1:8">
      <c r="A227" s="1">
        <v>2020</v>
      </c>
      <c r="B227" s="1">
        <v>7</v>
      </c>
      <c r="C227" s="1" t="s">
        <v>25</v>
      </c>
      <c r="D227" s="1" t="s">
        <v>135</v>
      </c>
      <c r="E227" s="1" t="s">
        <v>10</v>
      </c>
      <c r="F227" s="2">
        <v>15.8</v>
      </c>
      <c r="G227" s="1">
        <v>16</v>
      </c>
      <c r="H227" s="2">
        <v>252.8</v>
      </c>
    </row>
    <row r="228" spans="1:8">
      <c r="A228" s="1">
        <v>2021</v>
      </c>
      <c r="B228" s="1">
        <v>12</v>
      </c>
      <c r="C228" s="1" t="s">
        <v>19</v>
      </c>
      <c r="D228" s="1" t="s">
        <v>153</v>
      </c>
      <c r="E228" s="1" t="s">
        <v>28</v>
      </c>
      <c r="F228" s="2">
        <v>49.5</v>
      </c>
      <c r="G228" s="1">
        <v>6</v>
      </c>
      <c r="H228" s="2">
        <v>297</v>
      </c>
    </row>
    <row r="229" spans="1:8">
      <c r="A229" s="1">
        <v>2020</v>
      </c>
      <c r="B229" s="1">
        <v>3</v>
      </c>
      <c r="C229" s="1" t="s">
        <v>22</v>
      </c>
      <c r="D229" s="1" t="s">
        <v>38</v>
      </c>
      <c r="E229" s="1" t="s">
        <v>18</v>
      </c>
      <c r="F229" s="2">
        <v>14.9</v>
      </c>
      <c r="G229" s="1">
        <v>19</v>
      </c>
      <c r="H229" s="2">
        <v>283.10000000000002</v>
      </c>
    </row>
    <row r="230" spans="1:8">
      <c r="A230" s="1">
        <v>2022</v>
      </c>
      <c r="B230" s="1">
        <v>8</v>
      </c>
      <c r="C230" s="1" t="s">
        <v>22</v>
      </c>
      <c r="D230" s="1" t="s">
        <v>130</v>
      </c>
      <c r="E230" s="1" t="s">
        <v>18</v>
      </c>
      <c r="F230" s="2">
        <v>14.9</v>
      </c>
      <c r="G230" s="1">
        <v>11</v>
      </c>
      <c r="H230" s="2">
        <v>163.9</v>
      </c>
    </row>
    <row r="231" spans="1:8">
      <c r="A231" s="1">
        <v>2023</v>
      </c>
      <c r="B231" s="1">
        <v>2</v>
      </c>
      <c r="C231" s="1" t="s">
        <v>19</v>
      </c>
      <c r="D231" s="1" t="s">
        <v>122</v>
      </c>
      <c r="E231" s="1" t="s">
        <v>18</v>
      </c>
      <c r="F231" s="2">
        <v>14.9</v>
      </c>
      <c r="G231" s="1">
        <v>26</v>
      </c>
      <c r="H231" s="2">
        <v>387.4</v>
      </c>
    </row>
    <row r="232" spans="1:8">
      <c r="A232" s="1">
        <v>2023</v>
      </c>
      <c r="B232" s="1">
        <v>8</v>
      </c>
      <c r="C232" s="1" t="s">
        <v>22</v>
      </c>
      <c r="D232" s="1" t="s">
        <v>138</v>
      </c>
      <c r="E232" s="1" t="s">
        <v>10</v>
      </c>
      <c r="F232" s="2">
        <v>15.8</v>
      </c>
      <c r="G232" s="1">
        <v>17</v>
      </c>
      <c r="H232" s="2">
        <v>268.60000000000002</v>
      </c>
    </row>
    <row r="233" spans="1:8">
      <c r="A233" s="1">
        <v>2023</v>
      </c>
      <c r="B233" s="1">
        <v>1</v>
      </c>
      <c r="C233" s="1" t="s">
        <v>13</v>
      </c>
      <c r="D233" s="1" t="s">
        <v>84</v>
      </c>
      <c r="E233" s="1" t="s">
        <v>10</v>
      </c>
      <c r="F233" s="2">
        <v>15.8</v>
      </c>
      <c r="G233" s="1">
        <v>29</v>
      </c>
      <c r="H233" s="2">
        <v>458.2</v>
      </c>
    </row>
    <row r="234" spans="1:8">
      <c r="A234" s="1">
        <v>2020</v>
      </c>
      <c r="B234" s="1">
        <v>5</v>
      </c>
      <c r="C234" s="1" t="s">
        <v>19</v>
      </c>
      <c r="D234" s="1" t="s">
        <v>129</v>
      </c>
      <c r="E234" s="1" t="s">
        <v>28</v>
      </c>
      <c r="F234" s="2">
        <v>49.5</v>
      </c>
      <c r="G234" s="1">
        <v>20</v>
      </c>
      <c r="H234" s="2">
        <v>990</v>
      </c>
    </row>
    <row r="235" spans="1:8">
      <c r="A235" s="1">
        <v>2022</v>
      </c>
      <c r="B235" s="1">
        <v>3</v>
      </c>
      <c r="C235" s="1" t="s">
        <v>15</v>
      </c>
      <c r="D235" s="1" t="s">
        <v>128</v>
      </c>
      <c r="E235" s="1" t="s">
        <v>24</v>
      </c>
      <c r="F235" s="2">
        <v>9.8000000000000007</v>
      </c>
      <c r="G235" s="1">
        <v>12</v>
      </c>
      <c r="H235" s="2">
        <v>117.6</v>
      </c>
    </row>
    <row r="236" spans="1:8">
      <c r="A236" s="1">
        <v>2023</v>
      </c>
      <c r="B236" s="1">
        <v>9</v>
      </c>
      <c r="C236" s="1" t="s">
        <v>8</v>
      </c>
      <c r="D236" s="1" t="s">
        <v>105</v>
      </c>
      <c r="E236" s="1" t="s">
        <v>21</v>
      </c>
      <c r="F236" s="2">
        <v>29.9</v>
      </c>
      <c r="G236" s="1">
        <v>28</v>
      </c>
      <c r="H236" s="2">
        <v>837.2</v>
      </c>
    </row>
    <row r="237" spans="1:8">
      <c r="A237" s="1">
        <v>2019</v>
      </c>
      <c r="B237" s="1">
        <v>7</v>
      </c>
      <c r="C237" s="1" t="s">
        <v>13</v>
      </c>
      <c r="D237" s="1" t="s">
        <v>154</v>
      </c>
      <c r="E237" s="1" t="s">
        <v>18</v>
      </c>
      <c r="F237" s="2">
        <v>14.9</v>
      </c>
      <c r="G237" s="1">
        <v>23</v>
      </c>
      <c r="H237" s="2">
        <v>342.7</v>
      </c>
    </row>
    <row r="238" spans="1:8">
      <c r="A238" s="1">
        <v>2022</v>
      </c>
      <c r="B238" s="1">
        <v>10</v>
      </c>
      <c r="C238" s="1" t="s">
        <v>25</v>
      </c>
      <c r="D238" s="1" t="s">
        <v>141</v>
      </c>
      <c r="E238" s="1" t="s">
        <v>28</v>
      </c>
      <c r="F238" s="2">
        <v>49.5</v>
      </c>
      <c r="G238" s="1">
        <v>17</v>
      </c>
      <c r="H238" s="2">
        <v>841.5</v>
      </c>
    </row>
    <row r="239" spans="1:8">
      <c r="A239" s="1">
        <v>2019</v>
      </c>
      <c r="B239" s="1">
        <v>6</v>
      </c>
      <c r="C239" s="1" t="s">
        <v>15</v>
      </c>
      <c r="D239" s="1" t="s">
        <v>155</v>
      </c>
      <c r="E239" s="1" t="s">
        <v>24</v>
      </c>
      <c r="F239" s="2">
        <v>9.8000000000000007</v>
      </c>
      <c r="G239" s="1">
        <v>16</v>
      </c>
      <c r="H239" s="2">
        <v>156.80000000000001</v>
      </c>
    </row>
    <row r="240" spans="1:8">
      <c r="A240" s="1">
        <v>2019</v>
      </c>
      <c r="B240" s="1">
        <v>7</v>
      </c>
      <c r="C240" s="1" t="s">
        <v>13</v>
      </c>
      <c r="D240" s="1" t="s">
        <v>110</v>
      </c>
      <c r="E240" s="1" t="s">
        <v>12</v>
      </c>
      <c r="F240" s="2">
        <v>19.899999999999999</v>
      </c>
      <c r="G240" s="1">
        <v>17</v>
      </c>
      <c r="H240" s="2">
        <v>338.3</v>
      </c>
    </row>
    <row r="241" spans="1:8">
      <c r="A241" s="1">
        <v>2023</v>
      </c>
      <c r="B241" s="1">
        <v>2</v>
      </c>
      <c r="C241" s="1" t="s">
        <v>25</v>
      </c>
      <c r="D241" s="1" t="s">
        <v>156</v>
      </c>
      <c r="E241" s="1" t="s">
        <v>10</v>
      </c>
      <c r="F241" s="2">
        <v>15.8</v>
      </c>
      <c r="G241" s="1">
        <v>15</v>
      </c>
      <c r="H241" s="2">
        <v>237</v>
      </c>
    </row>
    <row r="242" spans="1:8">
      <c r="A242" s="1">
        <v>2020</v>
      </c>
      <c r="B242" s="1">
        <v>2</v>
      </c>
      <c r="C242" s="1" t="s">
        <v>22</v>
      </c>
      <c r="D242" s="1" t="s">
        <v>157</v>
      </c>
      <c r="E242" s="1" t="s">
        <v>12</v>
      </c>
      <c r="F242" s="2">
        <v>19.899999999999999</v>
      </c>
      <c r="G242" s="1">
        <v>11</v>
      </c>
      <c r="H242" s="2">
        <v>218.9</v>
      </c>
    </row>
    <row r="243" spans="1:8">
      <c r="A243" s="1">
        <v>2021</v>
      </c>
      <c r="B243" s="1">
        <v>6</v>
      </c>
      <c r="C243" s="1" t="s">
        <v>8</v>
      </c>
      <c r="D243" s="1" t="s">
        <v>101</v>
      </c>
      <c r="E243" s="1" t="s">
        <v>28</v>
      </c>
      <c r="F243" s="2">
        <v>49.5</v>
      </c>
      <c r="G243" s="1">
        <v>9</v>
      </c>
      <c r="H243" s="2">
        <v>445.5</v>
      </c>
    </row>
    <row r="244" spans="1:8">
      <c r="A244" s="1">
        <v>2021</v>
      </c>
      <c r="B244" s="1">
        <v>4</v>
      </c>
      <c r="C244" s="1" t="s">
        <v>15</v>
      </c>
      <c r="D244" s="1" t="s">
        <v>158</v>
      </c>
      <c r="E244" s="1" t="s">
        <v>24</v>
      </c>
      <c r="F244" s="2">
        <v>9.8000000000000007</v>
      </c>
      <c r="G244" s="1">
        <v>7</v>
      </c>
      <c r="H244" s="2">
        <v>68.599999999999994</v>
      </c>
    </row>
    <row r="245" spans="1:8">
      <c r="A245" s="1">
        <v>2020</v>
      </c>
      <c r="B245" s="1">
        <v>11</v>
      </c>
      <c r="C245" s="1" t="s">
        <v>25</v>
      </c>
      <c r="D245" s="1" t="s">
        <v>159</v>
      </c>
      <c r="E245" s="1" t="s">
        <v>12</v>
      </c>
      <c r="F245" s="2">
        <v>19.899999999999999</v>
      </c>
      <c r="G245" s="1">
        <v>19</v>
      </c>
      <c r="H245" s="2">
        <v>378.1</v>
      </c>
    </row>
    <row r="246" spans="1:8">
      <c r="A246" s="1">
        <v>2023</v>
      </c>
      <c r="B246" s="1">
        <v>11</v>
      </c>
      <c r="C246" s="1" t="s">
        <v>8</v>
      </c>
      <c r="D246" s="1" t="s">
        <v>85</v>
      </c>
      <c r="E246" s="1" t="s">
        <v>24</v>
      </c>
      <c r="F246" s="2">
        <v>9.8000000000000007</v>
      </c>
      <c r="G246" s="1">
        <v>15</v>
      </c>
      <c r="H246" s="2">
        <v>147</v>
      </c>
    </row>
    <row r="247" spans="1:8">
      <c r="A247" s="1">
        <v>2020</v>
      </c>
      <c r="B247" s="1">
        <v>8</v>
      </c>
      <c r="C247" s="1" t="s">
        <v>13</v>
      </c>
      <c r="D247" s="1" t="s">
        <v>57</v>
      </c>
      <c r="E247" s="1" t="s">
        <v>24</v>
      </c>
      <c r="F247" s="2">
        <v>9.8000000000000007</v>
      </c>
      <c r="G247" s="1">
        <v>14</v>
      </c>
      <c r="H247" s="2">
        <v>137.19999999999999</v>
      </c>
    </row>
    <row r="248" spans="1:8">
      <c r="A248" s="1">
        <v>2021</v>
      </c>
      <c r="B248" s="1">
        <v>10</v>
      </c>
      <c r="C248" s="1" t="s">
        <v>13</v>
      </c>
      <c r="D248" s="1" t="s">
        <v>148</v>
      </c>
      <c r="E248" s="1" t="s">
        <v>28</v>
      </c>
      <c r="F248" s="2">
        <v>49.5</v>
      </c>
      <c r="G248" s="1">
        <v>14</v>
      </c>
      <c r="H248" s="2">
        <v>693</v>
      </c>
    </row>
    <row r="249" spans="1:8">
      <c r="A249" s="1">
        <v>2022</v>
      </c>
      <c r="B249" s="1">
        <v>8</v>
      </c>
      <c r="C249" s="1" t="s">
        <v>13</v>
      </c>
      <c r="D249" s="1" t="s">
        <v>50</v>
      </c>
      <c r="E249" s="1" t="s">
        <v>18</v>
      </c>
      <c r="F249" s="2">
        <v>14.9</v>
      </c>
      <c r="G249" s="1">
        <v>7</v>
      </c>
      <c r="H249" s="2">
        <v>104.3</v>
      </c>
    </row>
    <row r="250" spans="1:8">
      <c r="A250" s="1">
        <v>2019</v>
      </c>
      <c r="B250" s="1">
        <v>10</v>
      </c>
      <c r="C250" s="1" t="s">
        <v>22</v>
      </c>
      <c r="D250" s="1" t="s">
        <v>92</v>
      </c>
      <c r="E250" s="1" t="s">
        <v>21</v>
      </c>
      <c r="F250" s="2">
        <v>29.9</v>
      </c>
      <c r="G250" s="1">
        <v>23</v>
      </c>
      <c r="H250" s="2">
        <v>687.7</v>
      </c>
    </row>
    <row r="251" spans="1:8">
      <c r="A251" s="1">
        <v>2023</v>
      </c>
      <c r="B251" s="1">
        <v>12</v>
      </c>
      <c r="C251" s="1" t="s">
        <v>13</v>
      </c>
      <c r="D251" s="1" t="s">
        <v>159</v>
      </c>
      <c r="E251" s="1" t="s">
        <v>24</v>
      </c>
      <c r="F251" s="2">
        <v>9.8000000000000007</v>
      </c>
      <c r="G251" s="1">
        <v>11</v>
      </c>
      <c r="H251" s="2">
        <v>107.8</v>
      </c>
    </row>
    <row r="252" spans="1:8">
      <c r="A252" s="1">
        <v>2021</v>
      </c>
      <c r="B252" s="1">
        <v>10</v>
      </c>
      <c r="C252" s="1" t="s">
        <v>25</v>
      </c>
      <c r="D252" s="1" t="s">
        <v>160</v>
      </c>
      <c r="E252" s="1" t="s">
        <v>28</v>
      </c>
      <c r="F252" s="2">
        <v>49.5</v>
      </c>
      <c r="G252" s="1">
        <v>19</v>
      </c>
      <c r="H252" s="2">
        <v>940.5</v>
      </c>
    </row>
    <row r="253" spans="1:8">
      <c r="A253" s="1">
        <v>2019</v>
      </c>
      <c r="B253" s="1">
        <v>6</v>
      </c>
      <c r="C253" s="1" t="s">
        <v>8</v>
      </c>
      <c r="D253" s="1" t="s">
        <v>26</v>
      </c>
      <c r="E253" s="1" t="s">
        <v>24</v>
      </c>
      <c r="F253" s="2">
        <v>9.8000000000000007</v>
      </c>
      <c r="G253" s="1">
        <v>10</v>
      </c>
      <c r="H253" s="2">
        <v>98</v>
      </c>
    </row>
    <row r="254" spans="1:8">
      <c r="A254" s="1">
        <v>2019</v>
      </c>
      <c r="B254" s="1">
        <v>4</v>
      </c>
      <c r="C254" s="1" t="s">
        <v>8</v>
      </c>
      <c r="D254" s="1" t="s">
        <v>161</v>
      </c>
      <c r="E254" s="1" t="s">
        <v>12</v>
      </c>
      <c r="F254" s="2">
        <v>19.899999999999999</v>
      </c>
      <c r="G254" s="1">
        <v>21</v>
      </c>
      <c r="H254" s="2">
        <v>417.9</v>
      </c>
    </row>
    <row r="255" spans="1:8">
      <c r="A255" s="1">
        <v>2023</v>
      </c>
      <c r="B255" s="1">
        <v>3</v>
      </c>
      <c r="C255" s="1" t="s">
        <v>19</v>
      </c>
      <c r="D255" s="1" t="s">
        <v>162</v>
      </c>
      <c r="E255" s="1" t="s">
        <v>21</v>
      </c>
      <c r="F255" s="2">
        <v>29.9</v>
      </c>
      <c r="G255" s="1">
        <v>18</v>
      </c>
      <c r="H255" s="2">
        <v>538.20000000000005</v>
      </c>
    </row>
    <row r="256" spans="1:8">
      <c r="A256" s="1">
        <v>2021</v>
      </c>
      <c r="B256" s="1">
        <v>11</v>
      </c>
      <c r="C256" s="1" t="s">
        <v>22</v>
      </c>
      <c r="D256" s="1" t="s">
        <v>50</v>
      </c>
      <c r="E256" s="1" t="s">
        <v>28</v>
      </c>
      <c r="F256" s="2">
        <v>49.5</v>
      </c>
      <c r="G256" s="1">
        <v>15</v>
      </c>
      <c r="H256" s="2">
        <v>742.5</v>
      </c>
    </row>
    <row r="257" spans="1:8">
      <c r="A257" s="1">
        <v>2019</v>
      </c>
      <c r="B257" s="1">
        <v>9</v>
      </c>
      <c r="C257" s="1" t="s">
        <v>8</v>
      </c>
      <c r="D257" s="1" t="s">
        <v>123</v>
      </c>
      <c r="E257" s="1" t="s">
        <v>18</v>
      </c>
      <c r="F257" s="2">
        <v>14.9</v>
      </c>
      <c r="G257" s="1">
        <v>28</v>
      </c>
      <c r="H257" s="2">
        <v>417.2</v>
      </c>
    </row>
    <row r="258" spans="1:8">
      <c r="A258" s="1">
        <v>2023</v>
      </c>
      <c r="B258" s="1">
        <v>3</v>
      </c>
      <c r="C258" s="1" t="s">
        <v>19</v>
      </c>
      <c r="D258" s="1" t="s">
        <v>31</v>
      </c>
      <c r="E258" s="1" t="s">
        <v>24</v>
      </c>
      <c r="F258" s="2">
        <v>9.8000000000000007</v>
      </c>
      <c r="G258" s="1">
        <v>9</v>
      </c>
      <c r="H258" s="2">
        <v>88.2</v>
      </c>
    </row>
    <row r="259" spans="1:8">
      <c r="A259" s="1">
        <v>2021</v>
      </c>
      <c r="B259" s="1">
        <v>5</v>
      </c>
      <c r="C259" s="1" t="s">
        <v>8</v>
      </c>
      <c r="D259" s="1" t="s">
        <v>65</v>
      </c>
      <c r="E259" s="1" t="s">
        <v>12</v>
      </c>
      <c r="F259" s="2">
        <v>19.899999999999999</v>
      </c>
      <c r="G259" s="1">
        <v>27</v>
      </c>
      <c r="H259" s="2">
        <v>537.29999999999995</v>
      </c>
    </row>
    <row r="260" spans="1:8">
      <c r="A260" s="1">
        <v>2019</v>
      </c>
      <c r="B260" s="1">
        <v>5</v>
      </c>
      <c r="C260" s="1" t="s">
        <v>22</v>
      </c>
      <c r="D260" s="1" t="s">
        <v>37</v>
      </c>
      <c r="E260" s="1" t="s">
        <v>10</v>
      </c>
      <c r="F260" s="2">
        <v>15.8</v>
      </c>
      <c r="G260" s="1">
        <v>26</v>
      </c>
      <c r="H260" s="2">
        <v>410.8</v>
      </c>
    </row>
    <row r="261" spans="1:8">
      <c r="A261" s="1">
        <v>2023</v>
      </c>
      <c r="B261" s="1">
        <v>2</v>
      </c>
      <c r="C261" s="1" t="s">
        <v>8</v>
      </c>
      <c r="D261" s="1" t="s">
        <v>151</v>
      </c>
      <c r="E261" s="1" t="s">
        <v>18</v>
      </c>
      <c r="F261" s="2">
        <v>14.9</v>
      </c>
      <c r="G261" s="1">
        <v>5</v>
      </c>
      <c r="H261" s="2">
        <v>74.5</v>
      </c>
    </row>
    <row r="262" spans="1:8">
      <c r="A262" s="1">
        <v>2021</v>
      </c>
      <c r="B262" s="1">
        <v>5</v>
      </c>
      <c r="C262" s="1" t="s">
        <v>15</v>
      </c>
      <c r="D262" s="1" t="s">
        <v>112</v>
      </c>
      <c r="E262" s="1" t="s">
        <v>21</v>
      </c>
      <c r="F262" s="2">
        <v>29.9</v>
      </c>
      <c r="G262" s="1">
        <v>11</v>
      </c>
      <c r="H262" s="2">
        <v>328.9</v>
      </c>
    </row>
    <row r="263" spans="1:8">
      <c r="A263" s="1">
        <v>2020</v>
      </c>
      <c r="B263" s="1">
        <v>3</v>
      </c>
      <c r="C263" s="1" t="s">
        <v>15</v>
      </c>
      <c r="D263" s="1" t="s">
        <v>81</v>
      </c>
      <c r="E263" s="1" t="s">
        <v>28</v>
      </c>
      <c r="F263" s="2">
        <v>49.5</v>
      </c>
      <c r="G263" s="1">
        <v>21</v>
      </c>
      <c r="H263" s="2">
        <v>1039.5</v>
      </c>
    </row>
    <row r="264" spans="1:8">
      <c r="A264" s="1">
        <v>2023</v>
      </c>
      <c r="B264" s="1">
        <v>12</v>
      </c>
      <c r="C264" s="1" t="s">
        <v>22</v>
      </c>
      <c r="D264" s="1" t="s">
        <v>50</v>
      </c>
      <c r="E264" s="1" t="s">
        <v>12</v>
      </c>
      <c r="F264" s="2">
        <v>19.899999999999999</v>
      </c>
      <c r="G264" s="1">
        <v>9</v>
      </c>
      <c r="H264" s="2">
        <v>179.1</v>
      </c>
    </row>
    <row r="265" spans="1:8">
      <c r="A265" s="1">
        <v>2023</v>
      </c>
      <c r="B265" s="1">
        <v>7</v>
      </c>
      <c r="C265" s="1" t="s">
        <v>15</v>
      </c>
      <c r="D265" s="1" t="s">
        <v>140</v>
      </c>
      <c r="E265" s="1" t="s">
        <v>24</v>
      </c>
      <c r="F265" s="2">
        <v>9.8000000000000007</v>
      </c>
      <c r="G265" s="1">
        <v>29</v>
      </c>
      <c r="H265" s="2">
        <v>284.2</v>
      </c>
    </row>
    <row r="266" spans="1:8">
      <c r="A266" s="1">
        <v>2023</v>
      </c>
      <c r="B266" s="1">
        <v>3</v>
      </c>
      <c r="C266" s="1" t="s">
        <v>8</v>
      </c>
      <c r="D266" s="1" t="s">
        <v>163</v>
      </c>
      <c r="E266" s="1" t="s">
        <v>21</v>
      </c>
      <c r="F266" s="2">
        <v>29.9</v>
      </c>
      <c r="G266" s="1">
        <v>16</v>
      </c>
      <c r="H266" s="2">
        <v>478.4</v>
      </c>
    </row>
    <row r="267" spans="1:8">
      <c r="A267" s="1">
        <v>2020</v>
      </c>
      <c r="B267" s="1">
        <v>8</v>
      </c>
      <c r="C267" s="1" t="s">
        <v>22</v>
      </c>
      <c r="D267" s="1" t="s">
        <v>131</v>
      </c>
      <c r="E267" s="1" t="s">
        <v>10</v>
      </c>
      <c r="F267" s="2">
        <v>15.8</v>
      </c>
      <c r="G267" s="1">
        <v>22</v>
      </c>
      <c r="H267" s="2">
        <v>347.6</v>
      </c>
    </row>
    <row r="268" spans="1:8">
      <c r="A268" s="1">
        <v>2020</v>
      </c>
      <c r="B268" s="1">
        <v>5</v>
      </c>
      <c r="C268" s="1" t="s">
        <v>25</v>
      </c>
      <c r="D268" s="1" t="s">
        <v>112</v>
      </c>
      <c r="E268" s="1" t="s">
        <v>24</v>
      </c>
      <c r="F268" s="2">
        <v>9.8000000000000007</v>
      </c>
      <c r="G268" s="1">
        <v>23</v>
      </c>
      <c r="H268" s="2">
        <v>225.4</v>
      </c>
    </row>
    <row r="269" spans="1:8">
      <c r="A269" s="1">
        <v>2022</v>
      </c>
      <c r="B269" s="1">
        <v>8</v>
      </c>
      <c r="C269" s="1" t="s">
        <v>19</v>
      </c>
      <c r="D269" s="1" t="s">
        <v>128</v>
      </c>
      <c r="E269" s="1" t="s">
        <v>12</v>
      </c>
      <c r="F269" s="2">
        <v>19.899999999999999</v>
      </c>
      <c r="G269" s="1">
        <v>18</v>
      </c>
      <c r="H269" s="2">
        <v>358.2</v>
      </c>
    </row>
    <row r="270" spans="1:8">
      <c r="A270" s="1">
        <v>2020</v>
      </c>
      <c r="B270" s="1">
        <v>4</v>
      </c>
      <c r="C270" s="1" t="s">
        <v>22</v>
      </c>
      <c r="D270" s="1" t="s">
        <v>164</v>
      </c>
      <c r="E270" s="1" t="s">
        <v>28</v>
      </c>
      <c r="F270" s="2">
        <v>49.5</v>
      </c>
      <c r="G270" s="1">
        <v>25</v>
      </c>
      <c r="H270" s="2">
        <v>1237.5</v>
      </c>
    </row>
    <row r="271" spans="1:8">
      <c r="A271" s="1">
        <v>2022</v>
      </c>
      <c r="B271" s="1">
        <v>6</v>
      </c>
      <c r="C271" s="1" t="s">
        <v>22</v>
      </c>
      <c r="D271" s="1" t="s">
        <v>157</v>
      </c>
      <c r="E271" s="1" t="s">
        <v>28</v>
      </c>
      <c r="F271" s="2">
        <v>49.5</v>
      </c>
      <c r="G271" s="1">
        <v>14</v>
      </c>
      <c r="H271" s="2">
        <v>693</v>
      </c>
    </row>
    <row r="272" spans="1:8">
      <c r="A272" s="1">
        <v>2019</v>
      </c>
      <c r="B272" s="1">
        <v>3</v>
      </c>
      <c r="C272" s="1" t="s">
        <v>19</v>
      </c>
      <c r="D272" s="1" t="s">
        <v>74</v>
      </c>
      <c r="E272" s="1" t="s">
        <v>10</v>
      </c>
      <c r="F272" s="2">
        <v>15.8</v>
      </c>
      <c r="G272" s="1">
        <v>18</v>
      </c>
      <c r="H272" s="2">
        <v>284.39999999999998</v>
      </c>
    </row>
    <row r="273" spans="1:8">
      <c r="A273" s="1">
        <v>2019</v>
      </c>
      <c r="B273" s="1">
        <v>4</v>
      </c>
      <c r="C273" s="1" t="s">
        <v>25</v>
      </c>
      <c r="D273" s="1" t="s">
        <v>145</v>
      </c>
      <c r="E273" s="1" t="s">
        <v>21</v>
      </c>
      <c r="F273" s="2">
        <v>29.9</v>
      </c>
      <c r="G273" s="1">
        <v>6</v>
      </c>
      <c r="H273" s="2">
        <v>179.4</v>
      </c>
    </row>
    <row r="274" spans="1:8">
      <c r="A274" s="1">
        <v>2022</v>
      </c>
      <c r="B274" s="1">
        <v>9</v>
      </c>
      <c r="C274" s="1" t="s">
        <v>19</v>
      </c>
      <c r="D274" s="1" t="s">
        <v>110</v>
      </c>
      <c r="E274" s="1" t="s">
        <v>28</v>
      </c>
      <c r="F274" s="2">
        <v>49.5</v>
      </c>
      <c r="G274" s="1">
        <v>16</v>
      </c>
      <c r="H274" s="2">
        <v>792</v>
      </c>
    </row>
    <row r="275" spans="1:8">
      <c r="A275" s="1">
        <v>2020</v>
      </c>
      <c r="B275" s="1">
        <v>1</v>
      </c>
      <c r="C275" s="1" t="s">
        <v>19</v>
      </c>
      <c r="D275" s="1" t="s">
        <v>45</v>
      </c>
      <c r="E275" s="1" t="s">
        <v>10</v>
      </c>
      <c r="F275" s="2">
        <v>15.8</v>
      </c>
      <c r="G275" s="1">
        <v>9</v>
      </c>
      <c r="H275" s="2">
        <v>142.19999999999999</v>
      </c>
    </row>
    <row r="276" spans="1:8">
      <c r="A276" s="1">
        <v>2019</v>
      </c>
      <c r="B276" s="1">
        <v>5</v>
      </c>
      <c r="C276" s="1" t="s">
        <v>25</v>
      </c>
      <c r="D276" s="1" t="s">
        <v>47</v>
      </c>
      <c r="E276" s="1" t="s">
        <v>21</v>
      </c>
      <c r="F276" s="2">
        <v>29.9</v>
      </c>
      <c r="G276" s="1">
        <v>24</v>
      </c>
      <c r="H276" s="2">
        <v>717.6</v>
      </c>
    </row>
    <row r="277" spans="1:8">
      <c r="A277" s="1">
        <v>2019</v>
      </c>
      <c r="B277" s="1">
        <v>2</v>
      </c>
      <c r="C277" s="1" t="s">
        <v>13</v>
      </c>
      <c r="D277" s="1" t="s">
        <v>9</v>
      </c>
      <c r="E277" s="1" t="s">
        <v>10</v>
      </c>
      <c r="F277" s="2">
        <v>15.8</v>
      </c>
      <c r="G277" s="1">
        <v>22</v>
      </c>
      <c r="H277" s="2">
        <v>347.6</v>
      </c>
    </row>
    <row r="278" spans="1:8">
      <c r="A278" s="1">
        <v>2023</v>
      </c>
      <c r="B278" s="1">
        <v>9</v>
      </c>
      <c r="C278" s="1" t="s">
        <v>25</v>
      </c>
      <c r="D278" s="1" t="s">
        <v>165</v>
      </c>
      <c r="E278" s="1" t="s">
        <v>10</v>
      </c>
      <c r="F278" s="2">
        <v>15.8</v>
      </c>
      <c r="G278" s="1">
        <v>14</v>
      </c>
      <c r="H278" s="2">
        <v>221.2</v>
      </c>
    </row>
    <row r="279" spans="1:8">
      <c r="A279" s="1">
        <v>2019</v>
      </c>
      <c r="B279" s="1">
        <v>1</v>
      </c>
      <c r="C279" s="1" t="s">
        <v>15</v>
      </c>
      <c r="D279" s="1" t="s">
        <v>77</v>
      </c>
      <c r="E279" s="1" t="s">
        <v>21</v>
      </c>
      <c r="F279" s="2">
        <v>29.9</v>
      </c>
      <c r="G279" s="1">
        <v>7</v>
      </c>
      <c r="H279" s="2">
        <v>209.3</v>
      </c>
    </row>
    <row r="280" spans="1:8">
      <c r="A280" s="1">
        <v>2019</v>
      </c>
      <c r="B280" s="1">
        <v>8</v>
      </c>
      <c r="C280" s="1" t="s">
        <v>22</v>
      </c>
      <c r="D280" s="1" t="s">
        <v>166</v>
      </c>
      <c r="E280" s="1" t="s">
        <v>24</v>
      </c>
      <c r="F280" s="2">
        <v>9.8000000000000007</v>
      </c>
      <c r="G280" s="1">
        <v>21</v>
      </c>
      <c r="H280" s="2">
        <v>205.8</v>
      </c>
    </row>
    <row r="281" spans="1:8">
      <c r="A281" s="1">
        <v>2023</v>
      </c>
      <c r="B281" s="1">
        <v>4</v>
      </c>
      <c r="C281" s="1" t="s">
        <v>8</v>
      </c>
      <c r="D281" s="1" t="s">
        <v>164</v>
      </c>
      <c r="E281" s="1" t="s">
        <v>21</v>
      </c>
      <c r="F281" s="2">
        <v>29.9</v>
      </c>
      <c r="G281" s="1">
        <v>5</v>
      </c>
      <c r="H281" s="2">
        <v>149.5</v>
      </c>
    </row>
    <row r="282" spans="1:8">
      <c r="A282" s="1">
        <v>2023</v>
      </c>
      <c r="B282" s="1">
        <v>6</v>
      </c>
      <c r="C282" s="1" t="s">
        <v>15</v>
      </c>
      <c r="D282" s="1" t="s">
        <v>103</v>
      </c>
      <c r="E282" s="1" t="s">
        <v>10</v>
      </c>
      <c r="F282" s="2">
        <v>15.8</v>
      </c>
      <c r="G282" s="1">
        <v>26</v>
      </c>
      <c r="H282" s="2">
        <v>410.8</v>
      </c>
    </row>
    <row r="283" spans="1:8">
      <c r="A283" s="1">
        <v>2019</v>
      </c>
      <c r="B283" s="1">
        <v>9</v>
      </c>
      <c r="C283" s="1" t="s">
        <v>19</v>
      </c>
      <c r="D283" s="1" t="s">
        <v>26</v>
      </c>
      <c r="E283" s="1" t="s">
        <v>12</v>
      </c>
      <c r="F283" s="2">
        <v>19.899999999999999</v>
      </c>
      <c r="G283" s="1">
        <v>21</v>
      </c>
      <c r="H283" s="2">
        <v>417.9</v>
      </c>
    </row>
    <row r="284" spans="1:8">
      <c r="A284" s="1">
        <v>2023</v>
      </c>
      <c r="B284" s="1">
        <v>9</v>
      </c>
      <c r="C284" s="1" t="s">
        <v>13</v>
      </c>
      <c r="D284" s="1" t="s">
        <v>117</v>
      </c>
      <c r="E284" s="1" t="s">
        <v>28</v>
      </c>
      <c r="F284" s="2">
        <v>49.5</v>
      </c>
      <c r="G284" s="1">
        <v>25</v>
      </c>
      <c r="H284" s="2">
        <v>1237.5</v>
      </c>
    </row>
    <row r="285" spans="1:8">
      <c r="A285" s="1">
        <v>2022</v>
      </c>
      <c r="B285" s="1">
        <v>6</v>
      </c>
      <c r="C285" s="1" t="s">
        <v>19</v>
      </c>
      <c r="D285" s="1" t="s">
        <v>73</v>
      </c>
      <c r="E285" s="1" t="s">
        <v>28</v>
      </c>
      <c r="F285" s="2">
        <v>49.5</v>
      </c>
      <c r="G285" s="1">
        <v>16</v>
      </c>
      <c r="H285" s="2">
        <v>792</v>
      </c>
    </row>
    <row r="286" spans="1:8">
      <c r="A286" s="1">
        <v>2020</v>
      </c>
      <c r="B286" s="1">
        <v>12</v>
      </c>
      <c r="C286" s="1" t="s">
        <v>8</v>
      </c>
      <c r="D286" s="1" t="s">
        <v>104</v>
      </c>
      <c r="E286" s="1" t="s">
        <v>24</v>
      </c>
      <c r="F286" s="2">
        <v>9.8000000000000007</v>
      </c>
      <c r="G286" s="1">
        <v>29</v>
      </c>
      <c r="H286" s="2">
        <v>284.2</v>
      </c>
    </row>
    <row r="287" spans="1:8">
      <c r="A287" s="1">
        <v>2021</v>
      </c>
      <c r="B287" s="1">
        <v>3</v>
      </c>
      <c r="C287" s="1" t="s">
        <v>13</v>
      </c>
      <c r="D287" s="1" t="s">
        <v>148</v>
      </c>
      <c r="E287" s="1" t="s">
        <v>18</v>
      </c>
      <c r="F287" s="2">
        <v>14.9</v>
      </c>
      <c r="G287" s="1">
        <v>25</v>
      </c>
      <c r="H287" s="2">
        <v>372.5</v>
      </c>
    </row>
    <row r="288" spans="1:8">
      <c r="A288" s="1">
        <v>2020</v>
      </c>
      <c r="B288" s="1">
        <v>11</v>
      </c>
      <c r="C288" s="1" t="s">
        <v>25</v>
      </c>
      <c r="D288" s="1" t="s">
        <v>167</v>
      </c>
      <c r="E288" s="1" t="s">
        <v>10</v>
      </c>
      <c r="F288" s="2">
        <v>15.8</v>
      </c>
      <c r="G288" s="1">
        <v>7</v>
      </c>
      <c r="H288" s="2">
        <v>110.6</v>
      </c>
    </row>
    <row r="289" spans="1:8">
      <c r="A289" s="1">
        <v>2022</v>
      </c>
      <c r="B289" s="1">
        <v>1</v>
      </c>
      <c r="C289" s="1" t="s">
        <v>19</v>
      </c>
      <c r="D289" s="1" t="s">
        <v>168</v>
      </c>
      <c r="E289" s="1" t="s">
        <v>10</v>
      </c>
      <c r="F289" s="2">
        <v>15.8</v>
      </c>
      <c r="G289" s="1">
        <v>6</v>
      </c>
      <c r="H289" s="2">
        <v>94.8</v>
      </c>
    </row>
    <row r="290" spans="1:8">
      <c r="A290" s="1">
        <v>2021</v>
      </c>
      <c r="B290" s="1">
        <v>5</v>
      </c>
      <c r="C290" s="1" t="s">
        <v>22</v>
      </c>
      <c r="D290" s="1" t="s">
        <v>128</v>
      </c>
      <c r="E290" s="1" t="s">
        <v>21</v>
      </c>
      <c r="F290" s="2">
        <v>29.9</v>
      </c>
      <c r="G290" s="1">
        <v>13</v>
      </c>
      <c r="H290" s="2">
        <v>388.7</v>
      </c>
    </row>
    <row r="291" spans="1:8">
      <c r="A291" s="1">
        <v>2019</v>
      </c>
      <c r="B291" s="1">
        <v>11</v>
      </c>
      <c r="C291" s="1" t="s">
        <v>15</v>
      </c>
      <c r="D291" s="1" t="s">
        <v>156</v>
      </c>
      <c r="E291" s="1" t="s">
        <v>28</v>
      </c>
      <c r="F291" s="2">
        <v>49.5</v>
      </c>
      <c r="G291" s="1">
        <v>25</v>
      </c>
      <c r="H291" s="2">
        <v>1237.5</v>
      </c>
    </row>
    <row r="292" spans="1:8">
      <c r="A292" s="1">
        <v>2021</v>
      </c>
      <c r="B292" s="1">
        <v>5</v>
      </c>
      <c r="C292" s="1" t="s">
        <v>13</v>
      </c>
      <c r="D292" s="1" t="s">
        <v>139</v>
      </c>
      <c r="E292" s="1" t="s">
        <v>21</v>
      </c>
      <c r="F292" s="2">
        <v>29.9</v>
      </c>
      <c r="G292" s="1">
        <v>28</v>
      </c>
      <c r="H292" s="2">
        <v>837.2</v>
      </c>
    </row>
    <row r="293" spans="1:8">
      <c r="A293" s="1">
        <v>2022</v>
      </c>
      <c r="B293" s="1">
        <v>7</v>
      </c>
      <c r="C293" s="1" t="s">
        <v>19</v>
      </c>
      <c r="D293" s="1" t="s">
        <v>32</v>
      </c>
      <c r="E293" s="1" t="s">
        <v>24</v>
      </c>
      <c r="F293" s="2">
        <v>9.8000000000000007</v>
      </c>
      <c r="G293" s="1">
        <v>20</v>
      </c>
      <c r="H293" s="2">
        <v>196</v>
      </c>
    </row>
    <row r="294" spans="1:8">
      <c r="A294" s="1">
        <v>2021</v>
      </c>
      <c r="B294" s="1">
        <v>9</v>
      </c>
      <c r="C294" s="1" t="s">
        <v>19</v>
      </c>
      <c r="D294" s="1" t="s">
        <v>137</v>
      </c>
      <c r="E294" s="1" t="s">
        <v>28</v>
      </c>
      <c r="F294" s="2">
        <v>49.5</v>
      </c>
      <c r="G294" s="1">
        <v>18</v>
      </c>
      <c r="H294" s="2">
        <v>891</v>
      </c>
    </row>
    <row r="295" spans="1:8">
      <c r="A295" s="1">
        <v>2023</v>
      </c>
      <c r="B295" s="1">
        <v>3</v>
      </c>
      <c r="C295" s="1" t="s">
        <v>22</v>
      </c>
      <c r="D295" s="1" t="s">
        <v>156</v>
      </c>
      <c r="E295" s="1" t="s">
        <v>28</v>
      </c>
      <c r="F295" s="2">
        <v>49.5</v>
      </c>
      <c r="G295" s="1">
        <v>7</v>
      </c>
      <c r="H295" s="2">
        <v>346.5</v>
      </c>
    </row>
    <row r="296" spans="1:8">
      <c r="A296" s="1">
        <v>2021</v>
      </c>
      <c r="B296" s="1">
        <v>11</v>
      </c>
      <c r="C296" s="1" t="s">
        <v>19</v>
      </c>
      <c r="D296" s="1" t="s">
        <v>131</v>
      </c>
      <c r="E296" s="1" t="s">
        <v>12</v>
      </c>
      <c r="F296" s="2">
        <v>19.899999999999999</v>
      </c>
      <c r="G296" s="1">
        <v>27</v>
      </c>
      <c r="H296" s="2">
        <v>537.29999999999995</v>
      </c>
    </row>
    <row r="297" spans="1:8">
      <c r="A297" s="1">
        <v>2022</v>
      </c>
      <c r="B297" s="1">
        <v>3</v>
      </c>
      <c r="C297" s="1" t="s">
        <v>8</v>
      </c>
      <c r="D297" s="1" t="s">
        <v>135</v>
      </c>
      <c r="E297" s="1" t="s">
        <v>21</v>
      </c>
      <c r="F297" s="2">
        <v>29.9</v>
      </c>
      <c r="G297" s="1">
        <v>6</v>
      </c>
      <c r="H297" s="2">
        <v>179.4</v>
      </c>
    </row>
    <row r="298" spans="1:8">
      <c r="A298" s="1">
        <v>2021</v>
      </c>
      <c r="B298" s="1">
        <v>10</v>
      </c>
      <c r="C298" s="1" t="s">
        <v>25</v>
      </c>
      <c r="D298" s="1" t="s">
        <v>23</v>
      </c>
      <c r="E298" s="1" t="s">
        <v>28</v>
      </c>
      <c r="F298" s="2">
        <v>49.5</v>
      </c>
      <c r="G298" s="1">
        <v>26</v>
      </c>
      <c r="H298" s="2">
        <v>1287</v>
      </c>
    </row>
    <row r="299" spans="1:8">
      <c r="A299" s="1">
        <v>2022</v>
      </c>
      <c r="B299" s="1">
        <v>6</v>
      </c>
      <c r="C299" s="1" t="s">
        <v>22</v>
      </c>
      <c r="D299" s="1" t="s">
        <v>100</v>
      </c>
      <c r="E299" s="1" t="s">
        <v>10</v>
      </c>
      <c r="F299" s="2">
        <v>15.8</v>
      </c>
      <c r="G299" s="1">
        <v>24</v>
      </c>
      <c r="H299" s="2">
        <v>379.2</v>
      </c>
    </row>
    <row r="300" spans="1:8">
      <c r="A300" s="1">
        <v>2022</v>
      </c>
      <c r="B300" s="1">
        <v>1</v>
      </c>
      <c r="C300" s="1" t="s">
        <v>15</v>
      </c>
      <c r="D300" s="1" t="s">
        <v>34</v>
      </c>
      <c r="E300" s="1" t="s">
        <v>24</v>
      </c>
      <c r="F300" s="2">
        <v>9.8000000000000007</v>
      </c>
      <c r="G300" s="1">
        <v>16</v>
      </c>
      <c r="H300" s="2">
        <v>156.80000000000001</v>
      </c>
    </row>
    <row r="301" spans="1:8">
      <c r="A301" s="1">
        <v>2021</v>
      </c>
      <c r="B301" s="1">
        <v>7</v>
      </c>
      <c r="C301" s="1" t="s">
        <v>22</v>
      </c>
      <c r="D301" s="1" t="s">
        <v>120</v>
      </c>
      <c r="E301" s="1" t="s">
        <v>10</v>
      </c>
      <c r="F301" s="2">
        <v>15.8</v>
      </c>
      <c r="G301" s="1">
        <v>26</v>
      </c>
      <c r="H301" s="2">
        <v>410.8</v>
      </c>
    </row>
    <row r="302" spans="1:8">
      <c r="A302" s="1">
        <v>2022</v>
      </c>
      <c r="B302" s="1">
        <v>6</v>
      </c>
      <c r="C302" s="1" t="s">
        <v>19</v>
      </c>
      <c r="D302" s="1" t="s">
        <v>154</v>
      </c>
      <c r="E302" s="1" t="s">
        <v>12</v>
      </c>
      <c r="F302" s="2">
        <v>19.899999999999999</v>
      </c>
      <c r="G302" s="1">
        <v>9</v>
      </c>
      <c r="H302" s="2">
        <v>179.1</v>
      </c>
    </row>
    <row r="303" spans="1:8">
      <c r="A303" s="1">
        <v>2023</v>
      </c>
      <c r="B303" s="1">
        <v>6</v>
      </c>
      <c r="C303" s="1" t="s">
        <v>25</v>
      </c>
      <c r="D303" s="1" t="s">
        <v>64</v>
      </c>
      <c r="E303" s="1" t="s">
        <v>10</v>
      </c>
      <c r="F303" s="2">
        <v>15.8</v>
      </c>
      <c r="G303" s="1">
        <v>8</v>
      </c>
      <c r="H303" s="2">
        <v>126.4</v>
      </c>
    </row>
    <row r="304" spans="1:8">
      <c r="A304" s="1">
        <v>2019</v>
      </c>
      <c r="B304" s="1">
        <v>12</v>
      </c>
      <c r="C304" s="1" t="s">
        <v>15</v>
      </c>
      <c r="D304" s="1" t="s">
        <v>169</v>
      </c>
      <c r="E304" s="1" t="s">
        <v>21</v>
      </c>
      <c r="F304" s="2">
        <v>29.9</v>
      </c>
      <c r="G304" s="1">
        <v>22</v>
      </c>
      <c r="H304" s="2">
        <v>657.8</v>
      </c>
    </row>
    <row r="305" spans="1:8">
      <c r="A305" s="1">
        <v>2019</v>
      </c>
      <c r="B305" s="1">
        <v>5</v>
      </c>
      <c r="C305" s="1" t="s">
        <v>19</v>
      </c>
      <c r="D305" s="1" t="s">
        <v>88</v>
      </c>
      <c r="E305" s="1" t="s">
        <v>12</v>
      </c>
      <c r="F305" s="2">
        <v>19.899999999999999</v>
      </c>
      <c r="G305" s="1">
        <v>14</v>
      </c>
      <c r="H305" s="2">
        <v>278.60000000000002</v>
      </c>
    </row>
    <row r="306" spans="1:8">
      <c r="A306" s="1">
        <v>2022</v>
      </c>
      <c r="B306" s="1">
        <v>4</v>
      </c>
      <c r="C306" s="1" t="s">
        <v>13</v>
      </c>
      <c r="D306" s="1" t="s">
        <v>143</v>
      </c>
      <c r="E306" s="1" t="s">
        <v>21</v>
      </c>
      <c r="F306" s="2">
        <v>29.9</v>
      </c>
      <c r="G306" s="1">
        <v>10</v>
      </c>
      <c r="H306" s="2">
        <v>299</v>
      </c>
    </row>
    <row r="307" spans="1:8">
      <c r="A307" s="1">
        <v>2022</v>
      </c>
      <c r="B307" s="1">
        <v>2</v>
      </c>
      <c r="C307" s="1" t="s">
        <v>8</v>
      </c>
      <c r="D307" s="1" t="s">
        <v>94</v>
      </c>
      <c r="E307" s="1" t="s">
        <v>24</v>
      </c>
      <c r="F307" s="2">
        <v>9.8000000000000007</v>
      </c>
      <c r="G307" s="1">
        <v>7</v>
      </c>
      <c r="H307" s="2">
        <v>68.599999999999994</v>
      </c>
    </row>
    <row r="308" spans="1:8">
      <c r="A308" s="1">
        <v>2023</v>
      </c>
      <c r="B308" s="1">
        <v>9</v>
      </c>
      <c r="C308" s="1" t="s">
        <v>19</v>
      </c>
      <c r="D308" s="1" t="s">
        <v>170</v>
      </c>
      <c r="E308" s="1" t="s">
        <v>24</v>
      </c>
      <c r="F308" s="2">
        <v>9.8000000000000007</v>
      </c>
      <c r="G308" s="1">
        <v>27</v>
      </c>
      <c r="H308" s="2">
        <v>264.60000000000002</v>
      </c>
    </row>
    <row r="309" spans="1:8">
      <c r="A309" s="1">
        <v>2020</v>
      </c>
      <c r="B309" s="1">
        <v>6</v>
      </c>
      <c r="C309" s="1" t="s">
        <v>22</v>
      </c>
      <c r="D309" s="1" t="s">
        <v>29</v>
      </c>
      <c r="E309" s="1" t="s">
        <v>10</v>
      </c>
      <c r="F309" s="2">
        <v>15.8</v>
      </c>
      <c r="G309" s="1">
        <v>30</v>
      </c>
      <c r="H309" s="2">
        <v>474</v>
      </c>
    </row>
    <row r="310" spans="1:8">
      <c r="A310" s="1">
        <v>2020</v>
      </c>
      <c r="B310" s="1">
        <v>4</v>
      </c>
      <c r="C310" s="1" t="s">
        <v>25</v>
      </c>
      <c r="D310" s="1" t="s">
        <v>73</v>
      </c>
      <c r="E310" s="1" t="s">
        <v>12</v>
      </c>
      <c r="F310" s="2">
        <v>19.899999999999999</v>
      </c>
      <c r="G310" s="1">
        <v>23</v>
      </c>
      <c r="H310" s="2">
        <v>457.7</v>
      </c>
    </row>
    <row r="311" spans="1:8">
      <c r="A311" s="1">
        <v>2021</v>
      </c>
      <c r="B311" s="1">
        <v>8</v>
      </c>
      <c r="C311" s="1" t="s">
        <v>22</v>
      </c>
      <c r="D311" s="1" t="s">
        <v>171</v>
      </c>
      <c r="E311" s="1" t="s">
        <v>28</v>
      </c>
      <c r="F311" s="2">
        <v>49.5</v>
      </c>
      <c r="G311" s="1">
        <v>7</v>
      </c>
      <c r="H311" s="2">
        <v>346.5</v>
      </c>
    </row>
    <row r="312" spans="1:8">
      <c r="A312" s="1">
        <v>2021</v>
      </c>
      <c r="B312" s="1">
        <v>7</v>
      </c>
      <c r="C312" s="1" t="s">
        <v>8</v>
      </c>
      <c r="D312" s="1" t="s">
        <v>169</v>
      </c>
      <c r="E312" s="1" t="s">
        <v>21</v>
      </c>
      <c r="F312" s="2">
        <v>29.9</v>
      </c>
      <c r="G312" s="1">
        <v>29</v>
      </c>
      <c r="H312" s="2">
        <v>867.1</v>
      </c>
    </row>
    <row r="313" spans="1:8">
      <c r="A313" s="1">
        <v>2022</v>
      </c>
      <c r="B313" s="1">
        <v>10</v>
      </c>
      <c r="C313" s="1" t="s">
        <v>13</v>
      </c>
      <c r="D313" s="1" t="s">
        <v>172</v>
      </c>
      <c r="E313" s="1" t="s">
        <v>24</v>
      </c>
      <c r="F313" s="2">
        <v>9.8000000000000007</v>
      </c>
      <c r="G313" s="1">
        <v>7</v>
      </c>
      <c r="H313" s="2">
        <v>68.599999999999994</v>
      </c>
    </row>
    <row r="314" spans="1:8">
      <c r="A314" s="1">
        <v>2022</v>
      </c>
      <c r="B314" s="1">
        <v>8</v>
      </c>
      <c r="C314" s="1" t="s">
        <v>8</v>
      </c>
      <c r="D314" s="1" t="s">
        <v>111</v>
      </c>
      <c r="E314" s="1" t="s">
        <v>10</v>
      </c>
      <c r="F314" s="2">
        <v>15.8</v>
      </c>
      <c r="G314" s="1">
        <v>29</v>
      </c>
      <c r="H314" s="2">
        <v>458.2</v>
      </c>
    </row>
    <row r="315" spans="1:8">
      <c r="A315" s="1">
        <v>2023</v>
      </c>
      <c r="B315" s="1">
        <v>11</v>
      </c>
      <c r="C315" s="1" t="s">
        <v>22</v>
      </c>
      <c r="D315" s="1" t="s">
        <v>140</v>
      </c>
      <c r="E315" s="1" t="s">
        <v>21</v>
      </c>
      <c r="F315" s="2">
        <v>29.9</v>
      </c>
      <c r="G315" s="1">
        <v>21</v>
      </c>
      <c r="H315" s="2">
        <v>627.9</v>
      </c>
    </row>
    <row r="316" spans="1:8">
      <c r="A316" s="1">
        <v>2019</v>
      </c>
      <c r="B316" s="1">
        <v>2</v>
      </c>
      <c r="C316" s="1" t="s">
        <v>22</v>
      </c>
      <c r="D316" s="1" t="s">
        <v>164</v>
      </c>
      <c r="E316" s="1" t="s">
        <v>10</v>
      </c>
      <c r="F316" s="2">
        <v>15.8</v>
      </c>
      <c r="G316" s="1">
        <v>10</v>
      </c>
      <c r="H316" s="2">
        <v>158</v>
      </c>
    </row>
    <row r="317" spans="1:8">
      <c r="A317" s="1">
        <v>2021</v>
      </c>
      <c r="B317" s="1">
        <v>12</v>
      </c>
      <c r="C317" s="1" t="s">
        <v>15</v>
      </c>
      <c r="D317" s="1" t="s">
        <v>148</v>
      </c>
      <c r="E317" s="1" t="s">
        <v>18</v>
      </c>
      <c r="F317" s="2">
        <v>14.9</v>
      </c>
      <c r="G317" s="1">
        <v>7</v>
      </c>
      <c r="H317" s="2">
        <v>104.3</v>
      </c>
    </row>
    <row r="318" spans="1:8">
      <c r="A318" s="1">
        <v>2021</v>
      </c>
      <c r="B318" s="1">
        <v>4</v>
      </c>
      <c r="C318" s="1" t="s">
        <v>8</v>
      </c>
      <c r="D318" s="1" t="s">
        <v>173</v>
      </c>
      <c r="E318" s="1" t="s">
        <v>10</v>
      </c>
      <c r="F318" s="2">
        <v>15.8</v>
      </c>
      <c r="G318" s="1">
        <v>25</v>
      </c>
      <c r="H318" s="2">
        <v>395</v>
      </c>
    </row>
    <row r="319" spans="1:8">
      <c r="A319" s="1">
        <v>2021</v>
      </c>
      <c r="B319" s="1">
        <v>10</v>
      </c>
      <c r="C319" s="1" t="s">
        <v>22</v>
      </c>
      <c r="D319" s="1" t="s">
        <v>26</v>
      </c>
      <c r="E319" s="1" t="s">
        <v>24</v>
      </c>
      <c r="F319" s="2">
        <v>9.8000000000000007</v>
      </c>
      <c r="G319" s="1">
        <v>10</v>
      </c>
      <c r="H319" s="2">
        <v>98</v>
      </c>
    </row>
    <row r="320" spans="1:8">
      <c r="A320" s="1">
        <v>2023</v>
      </c>
      <c r="B320" s="1">
        <v>10</v>
      </c>
      <c r="C320" s="1" t="s">
        <v>15</v>
      </c>
      <c r="D320" s="1" t="s">
        <v>174</v>
      </c>
      <c r="E320" s="1" t="s">
        <v>24</v>
      </c>
      <c r="F320" s="2">
        <v>9.8000000000000007</v>
      </c>
      <c r="G320" s="1">
        <v>24</v>
      </c>
      <c r="H320" s="2">
        <v>235.2</v>
      </c>
    </row>
    <row r="321" spans="1:8">
      <c r="A321" s="1">
        <v>2021</v>
      </c>
      <c r="B321" s="1">
        <v>10</v>
      </c>
      <c r="C321" s="1" t="s">
        <v>13</v>
      </c>
      <c r="D321" s="1" t="s">
        <v>125</v>
      </c>
      <c r="E321" s="1" t="s">
        <v>28</v>
      </c>
      <c r="F321" s="2">
        <v>49.5</v>
      </c>
      <c r="G321" s="1">
        <v>25</v>
      </c>
      <c r="H321" s="2">
        <v>1237.5</v>
      </c>
    </row>
    <row r="322" spans="1:8">
      <c r="A322" s="1">
        <v>2023</v>
      </c>
      <c r="B322" s="1">
        <v>5</v>
      </c>
      <c r="C322" s="1" t="s">
        <v>8</v>
      </c>
      <c r="D322" s="1" t="s">
        <v>175</v>
      </c>
      <c r="E322" s="1" t="s">
        <v>21</v>
      </c>
      <c r="F322" s="2">
        <v>29.9</v>
      </c>
      <c r="G322" s="1">
        <v>24</v>
      </c>
      <c r="H322" s="2">
        <v>717.6</v>
      </c>
    </row>
    <row r="323" spans="1:8">
      <c r="A323" s="1">
        <v>2019</v>
      </c>
      <c r="B323" s="1">
        <v>8</v>
      </c>
      <c r="C323" s="1" t="s">
        <v>8</v>
      </c>
      <c r="D323" s="1" t="s">
        <v>173</v>
      </c>
      <c r="E323" s="1" t="s">
        <v>24</v>
      </c>
      <c r="F323" s="2">
        <v>9.8000000000000007</v>
      </c>
      <c r="G323" s="1">
        <v>14</v>
      </c>
      <c r="H323" s="2">
        <v>137.19999999999999</v>
      </c>
    </row>
    <row r="324" spans="1:8">
      <c r="A324" s="1">
        <v>2022</v>
      </c>
      <c r="B324" s="1">
        <v>4</v>
      </c>
      <c r="C324" s="1" t="s">
        <v>8</v>
      </c>
      <c r="D324" s="1" t="s">
        <v>123</v>
      </c>
      <c r="E324" s="1" t="s">
        <v>21</v>
      </c>
      <c r="F324" s="2">
        <v>29.9</v>
      </c>
      <c r="G324" s="1">
        <v>7</v>
      </c>
      <c r="H324" s="2">
        <v>209.3</v>
      </c>
    </row>
    <row r="325" spans="1:8">
      <c r="A325" s="1">
        <v>2019</v>
      </c>
      <c r="B325" s="1">
        <v>3</v>
      </c>
      <c r="C325" s="1" t="s">
        <v>25</v>
      </c>
      <c r="D325" s="1" t="s">
        <v>133</v>
      </c>
      <c r="E325" s="1" t="s">
        <v>21</v>
      </c>
      <c r="F325" s="2">
        <v>29.9</v>
      </c>
      <c r="G325" s="1">
        <v>11</v>
      </c>
      <c r="H325" s="2">
        <v>328.9</v>
      </c>
    </row>
    <row r="326" spans="1:8">
      <c r="A326" s="1">
        <v>2021</v>
      </c>
      <c r="B326" s="1">
        <v>10</v>
      </c>
      <c r="C326" s="1" t="s">
        <v>15</v>
      </c>
      <c r="D326" s="1" t="s">
        <v>94</v>
      </c>
      <c r="E326" s="1" t="s">
        <v>24</v>
      </c>
      <c r="F326" s="2">
        <v>9.8000000000000007</v>
      </c>
      <c r="G326" s="1">
        <v>16</v>
      </c>
      <c r="H326" s="2">
        <v>156.80000000000001</v>
      </c>
    </row>
    <row r="327" spans="1:8">
      <c r="A327" s="1">
        <v>2022</v>
      </c>
      <c r="B327" s="1">
        <v>3</v>
      </c>
      <c r="C327" s="1" t="s">
        <v>19</v>
      </c>
      <c r="D327" s="1" t="s">
        <v>144</v>
      </c>
      <c r="E327" s="1" t="s">
        <v>28</v>
      </c>
      <c r="F327" s="2">
        <v>49.5</v>
      </c>
      <c r="G327" s="1">
        <v>15</v>
      </c>
      <c r="H327" s="2">
        <v>742.5</v>
      </c>
    </row>
    <row r="328" spans="1:8">
      <c r="A328" s="1">
        <v>2020</v>
      </c>
      <c r="B328" s="1">
        <v>8</v>
      </c>
      <c r="C328" s="1" t="s">
        <v>13</v>
      </c>
      <c r="D328" s="1" t="s">
        <v>55</v>
      </c>
      <c r="E328" s="1" t="s">
        <v>10</v>
      </c>
      <c r="F328" s="2">
        <v>15.8</v>
      </c>
      <c r="G328" s="1">
        <v>9</v>
      </c>
      <c r="H328" s="2">
        <v>142.19999999999999</v>
      </c>
    </row>
    <row r="329" spans="1:8">
      <c r="A329" s="1">
        <v>2019</v>
      </c>
      <c r="B329" s="1">
        <v>1</v>
      </c>
      <c r="C329" s="1" t="s">
        <v>19</v>
      </c>
      <c r="D329" s="1" t="s">
        <v>96</v>
      </c>
      <c r="E329" s="1" t="s">
        <v>21</v>
      </c>
      <c r="F329" s="2">
        <v>29.9</v>
      </c>
      <c r="G329" s="1">
        <v>12</v>
      </c>
      <c r="H329" s="2">
        <v>358.8</v>
      </c>
    </row>
    <row r="330" spans="1:8">
      <c r="A330" s="1">
        <v>2020</v>
      </c>
      <c r="B330" s="1">
        <v>6</v>
      </c>
      <c r="C330" s="1" t="s">
        <v>22</v>
      </c>
      <c r="D330" s="1" t="s">
        <v>72</v>
      </c>
      <c r="E330" s="1" t="s">
        <v>10</v>
      </c>
      <c r="F330" s="2">
        <v>15.8</v>
      </c>
      <c r="G330" s="1">
        <v>20</v>
      </c>
      <c r="H330" s="2">
        <v>316</v>
      </c>
    </row>
    <row r="331" spans="1:8">
      <c r="A331" s="1">
        <v>2023</v>
      </c>
      <c r="B331" s="1">
        <v>8</v>
      </c>
      <c r="C331" s="1" t="s">
        <v>25</v>
      </c>
      <c r="D331" s="1" t="s">
        <v>131</v>
      </c>
      <c r="E331" s="1" t="s">
        <v>28</v>
      </c>
      <c r="F331" s="2">
        <v>49.5</v>
      </c>
      <c r="G331" s="1">
        <v>7</v>
      </c>
      <c r="H331" s="2">
        <v>346.5</v>
      </c>
    </row>
    <row r="332" spans="1:8">
      <c r="A332" s="1">
        <v>2022</v>
      </c>
      <c r="B332" s="1">
        <v>9</v>
      </c>
      <c r="C332" s="1" t="s">
        <v>25</v>
      </c>
      <c r="D332" s="1" t="s">
        <v>176</v>
      </c>
      <c r="E332" s="1" t="s">
        <v>12</v>
      </c>
      <c r="F332" s="2">
        <v>19.899999999999999</v>
      </c>
      <c r="G332" s="1">
        <v>16</v>
      </c>
      <c r="H332" s="2">
        <v>318.39999999999998</v>
      </c>
    </row>
    <row r="333" spans="1:8">
      <c r="A333" s="1">
        <v>2019</v>
      </c>
      <c r="B333" s="1">
        <v>1</v>
      </c>
      <c r="C333" s="1" t="s">
        <v>19</v>
      </c>
      <c r="D333" s="1" t="s">
        <v>177</v>
      </c>
      <c r="E333" s="1" t="s">
        <v>24</v>
      </c>
      <c r="F333" s="2">
        <v>9.8000000000000007</v>
      </c>
      <c r="G333" s="1">
        <v>26</v>
      </c>
      <c r="H333" s="2">
        <v>254.8</v>
      </c>
    </row>
    <row r="334" spans="1:8">
      <c r="A334" s="1">
        <v>2022</v>
      </c>
      <c r="B334" s="1">
        <v>5</v>
      </c>
      <c r="C334" s="1" t="s">
        <v>22</v>
      </c>
      <c r="D334" s="1" t="s">
        <v>125</v>
      </c>
      <c r="E334" s="1" t="s">
        <v>21</v>
      </c>
      <c r="F334" s="2">
        <v>29.9</v>
      </c>
      <c r="G334" s="1">
        <v>9</v>
      </c>
      <c r="H334" s="2">
        <v>269.10000000000002</v>
      </c>
    </row>
    <row r="335" spans="1:8">
      <c r="A335" s="1">
        <v>2021</v>
      </c>
      <c r="B335" s="1">
        <v>12</v>
      </c>
      <c r="C335" s="1" t="s">
        <v>19</v>
      </c>
      <c r="D335" s="1" t="s">
        <v>37</v>
      </c>
      <c r="E335" s="1" t="s">
        <v>28</v>
      </c>
      <c r="F335" s="2">
        <v>49.5</v>
      </c>
      <c r="G335" s="1">
        <v>17</v>
      </c>
      <c r="H335" s="2">
        <v>841.5</v>
      </c>
    </row>
    <row r="336" spans="1:8">
      <c r="A336" s="1">
        <v>2019</v>
      </c>
      <c r="B336" s="1">
        <v>10</v>
      </c>
      <c r="C336" s="1" t="s">
        <v>22</v>
      </c>
      <c r="D336" s="1" t="s">
        <v>112</v>
      </c>
      <c r="E336" s="1" t="s">
        <v>12</v>
      </c>
      <c r="F336" s="2">
        <v>19.899999999999999</v>
      </c>
      <c r="G336" s="1">
        <v>14</v>
      </c>
      <c r="H336" s="2">
        <v>278.60000000000002</v>
      </c>
    </row>
    <row r="337" spans="1:8">
      <c r="A337" s="1">
        <v>2019</v>
      </c>
      <c r="B337" s="1">
        <v>7</v>
      </c>
      <c r="C337" s="1" t="s">
        <v>22</v>
      </c>
      <c r="D337" s="1" t="s">
        <v>74</v>
      </c>
      <c r="E337" s="1" t="s">
        <v>18</v>
      </c>
      <c r="F337" s="2">
        <v>14.9</v>
      </c>
      <c r="G337" s="1">
        <v>24</v>
      </c>
      <c r="H337" s="2">
        <v>357.6</v>
      </c>
    </row>
    <row r="338" spans="1:8">
      <c r="A338" s="1">
        <v>2023</v>
      </c>
      <c r="B338" s="1">
        <v>2</v>
      </c>
      <c r="C338" s="1" t="s">
        <v>15</v>
      </c>
      <c r="D338" s="1" t="s">
        <v>178</v>
      </c>
      <c r="E338" s="1" t="s">
        <v>18</v>
      </c>
      <c r="F338" s="2">
        <v>14.9</v>
      </c>
      <c r="G338" s="1">
        <v>30</v>
      </c>
      <c r="H338" s="2">
        <v>447</v>
      </c>
    </row>
    <row r="339" spans="1:8">
      <c r="A339" s="1">
        <v>2021</v>
      </c>
      <c r="B339" s="1">
        <v>9</v>
      </c>
      <c r="C339" s="1" t="s">
        <v>19</v>
      </c>
      <c r="D339" s="1" t="s">
        <v>101</v>
      </c>
      <c r="E339" s="1" t="s">
        <v>12</v>
      </c>
      <c r="F339" s="2">
        <v>19.899999999999999</v>
      </c>
      <c r="G339" s="1">
        <v>21</v>
      </c>
      <c r="H339" s="2">
        <v>417.9</v>
      </c>
    </row>
    <row r="340" spans="1:8">
      <c r="A340" s="1">
        <v>2022</v>
      </c>
      <c r="B340" s="1">
        <v>9</v>
      </c>
      <c r="C340" s="1" t="s">
        <v>13</v>
      </c>
      <c r="D340" s="1" t="s">
        <v>115</v>
      </c>
      <c r="E340" s="1" t="s">
        <v>10</v>
      </c>
      <c r="F340" s="2">
        <v>15.8</v>
      </c>
      <c r="G340" s="1">
        <v>27</v>
      </c>
      <c r="H340" s="2">
        <v>426.6</v>
      </c>
    </row>
    <row r="341" spans="1:8">
      <c r="A341" s="1">
        <v>2021</v>
      </c>
      <c r="B341" s="1">
        <v>8</v>
      </c>
      <c r="C341" s="1" t="s">
        <v>22</v>
      </c>
      <c r="D341" s="1" t="s">
        <v>98</v>
      </c>
      <c r="E341" s="1" t="s">
        <v>12</v>
      </c>
      <c r="F341" s="2">
        <v>19.899999999999999</v>
      </c>
      <c r="G341" s="1">
        <v>21</v>
      </c>
      <c r="H341" s="2">
        <v>417.9</v>
      </c>
    </row>
    <row r="342" spans="1:8">
      <c r="A342" s="1">
        <v>2020</v>
      </c>
      <c r="B342" s="1">
        <v>6</v>
      </c>
      <c r="C342" s="1" t="s">
        <v>22</v>
      </c>
      <c r="D342" s="1" t="s">
        <v>116</v>
      </c>
      <c r="E342" s="1" t="s">
        <v>21</v>
      </c>
      <c r="F342" s="2">
        <v>29.9</v>
      </c>
      <c r="G342" s="1">
        <v>24</v>
      </c>
      <c r="H342" s="2">
        <v>717.6</v>
      </c>
    </row>
    <row r="343" spans="1:8">
      <c r="A343" s="1">
        <v>2021</v>
      </c>
      <c r="B343" s="1">
        <v>10</v>
      </c>
      <c r="C343" s="1" t="s">
        <v>19</v>
      </c>
      <c r="D343" s="1" t="s">
        <v>144</v>
      </c>
      <c r="E343" s="1" t="s">
        <v>12</v>
      </c>
      <c r="F343" s="2">
        <v>19.899999999999999</v>
      </c>
      <c r="G343" s="1">
        <v>20</v>
      </c>
      <c r="H343" s="2">
        <v>398</v>
      </c>
    </row>
    <row r="344" spans="1:8">
      <c r="A344" s="1">
        <v>2023</v>
      </c>
      <c r="B344" s="1">
        <v>5</v>
      </c>
      <c r="C344" s="1" t="s">
        <v>25</v>
      </c>
      <c r="D344" s="1" t="s">
        <v>73</v>
      </c>
      <c r="E344" s="1" t="s">
        <v>18</v>
      </c>
      <c r="F344" s="2">
        <v>14.9</v>
      </c>
      <c r="G344" s="1">
        <v>26</v>
      </c>
      <c r="H344" s="2">
        <v>387.4</v>
      </c>
    </row>
    <row r="345" spans="1:8">
      <c r="A345" s="1">
        <v>2019</v>
      </c>
      <c r="B345" s="1">
        <v>7</v>
      </c>
      <c r="C345" s="1" t="s">
        <v>22</v>
      </c>
      <c r="D345" s="1" t="s">
        <v>138</v>
      </c>
      <c r="E345" s="1" t="s">
        <v>12</v>
      </c>
      <c r="F345" s="2">
        <v>19.899999999999999</v>
      </c>
      <c r="G345" s="1">
        <v>20</v>
      </c>
      <c r="H345" s="2">
        <v>398</v>
      </c>
    </row>
    <row r="346" spans="1:8">
      <c r="A346" s="1">
        <v>2021</v>
      </c>
      <c r="B346" s="1">
        <v>11</v>
      </c>
      <c r="C346" s="1" t="s">
        <v>22</v>
      </c>
      <c r="D346" s="1" t="s">
        <v>49</v>
      </c>
      <c r="E346" s="1" t="s">
        <v>24</v>
      </c>
      <c r="F346" s="2">
        <v>9.8000000000000007</v>
      </c>
      <c r="G346" s="1">
        <v>6</v>
      </c>
      <c r="H346" s="2">
        <v>58.8</v>
      </c>
    </row>
    <row r="347" spans="1:8">
      <c r="A347" s="1">
        <v>2023</v>
      </c>
      <c r="B347" s="1">
        <v>8</v>
      </c>
      <c r="C347" s="1" t="s">
        <v>15</v>
      </c>
      <c r="D347" s="1" t="s">
        <v>113</v>
      </c>
      <c r="E347" s="1" t="s">
        <v>21</v>
      </c>
      <c r="F347" s="2">
        <v>29.9</v>
      </c>
      <c r="G347" s="1">
        <v>9</v>
      </c>
      <c r="H347" s="2">
        <v>269.10000000000002</v>
      </c>
    </row>
    <row r="348" spans="1:8">
      <c r="A348" s="1">
        <v>2020</v>
      </c>
      <c r="B348" s="1">
        <v>1</v>
      </c>
      <c r="C348" s="1" t="s">
        <v>22</v>
      </c>
      <c r="D348" s="1" t="s">
        <v>142</v>
      </c>
      <c r="E348" s="1" t="s">
        <v>28</v>
      </c>
      <c r="F348" s="2">
        <v>49.5</v>
      </c>
      <c r="G348" s="1">
        <v>19</v>
      </c>
      <c r="H348" s="2">
        <v>940.5</v>
      </c>
    </row>
    <row r="349" spans="1:8">
      <c r="A349" s="1">
        <v>2021</v>
      </c>
      <c r="B349" s="1">
        <v>7</v>
      </c>
      <c r="C349" s="1" t="s">
        <v>15</v>
      </c>
      <c r="D349" s="1" t="s">
        <v>48</v>
      </c>
      <c r="E349" s="1" t="s">
        <v>21</v>
      </c>
      <c r="F349" s="2">
        <v>29.9</v>
      </c>
      <c r="G349" s="1">
        <v>21</v>
      </c>
      <c r="H349" s="2">
        <v>627.9</v>
      </c>
    </row>
    <row r="350" spans="1:8">
      <c r="A350" s="1">
        <v>2023</v>
      </c>
      <c r="B350" s="1">
        <v>8</v>
      </c>
      <c r="C350" s="1" t="s">
        <v>8</v>
      </c>
      <c r="D350" s="1" t="s">
        <v>179</v>
      </c>
      <c r="E350" s="1" t="s">
        <v>12</v>
      </c>
      <c r="F350" s="2">
        <v>19.899999999999999</v>
      </c>
      <c r="G350" s="1">
        <v>11</v>
      </c>
      <c r="H350" s="2">
        <v>218.9</v>
      </c>
    </row>
    <row r="351" spans="1:8">
      <c r="A351" s="1">
        <v>2023</v>
      </c>
      <c r="B351" s="1">
        <v>6</v>
      </c>
      <c r="C351" s="1" t="s">
        <v>8</v>
      </c>
      <c r="D351" s="1" t="s">
        <v>169</v>
      </c>
      <c r="E351" s="1" t="s">
        <v>21</v>
      </c>
      <c r="F351" s="2">
        <v>29.9</v>
      </c>
      <c r="G351" s="1">
        <v>15</v>
      </c>
      <c r="H351" s="2">
        <v>448.5</v>
      </c>
    </row>
    <row r="352" spans="1:8">
      <c r="A352" s="1">
        <v>2020</v>
      </c>
      <c r="B352" s="1">
        <v>8</v>
      </c>
      <c r="C352" s="1" t="s">
        <v>22</v>
      </c>
      <c r="D352" s="1" t="s">
        <v>95</v>
      </c>
      <c r="E352" s="1" t="s">
        <v>18</v>
      </c>
      <c r="F352" s="2">
        <v>14.9</v>
      </c>
      <c r="G352" s="1">
        <v>26</v>
      </c>
      <c r="H352" s="2">
        <v>387.4</v>
      </c>
    </row>
    <row r="353" spans="1:8">
      <c r="A353" s="1">
        <v>2021</v>
      </c>
      <c r="B353" s="1">
        <v>10</v>
      </c>
      <c r="C353" s="1" t="s">
        <v>25</v>
      </c>
      <c r="D353" s="1" t="s">
        <v>14</v>
      </c>
      <c r="E353" s="1" t="s">
        <v>18</v>
      </c>
      <c r="F353" s="2">
        <v>14.9</v>
      </c>
      <c r="G353" s="1">
        <v>22</v>
      </c>
      <c r="H353" s="2">
        <v>327.8</v>
      </c>
    </row>
    <row r="354" spans="1:8">
      <c r="A354" s="1">
        <v>2021</v>
      </c>
      <c r="B354" s="1">
        <v>4</v>
      </c>
      <c r="C354" s="1" t="s">
        <v>19</v>
      </c>
      <c r="D354" s="1" t="s">
        <v>180</v>
      </c>
      <c r="E354" s="1" t="s">
        <v>24</v>
      </c>
      <c r="F354" s="2">
        <v>9.8000000000000007</v>
      </c>
      <c r="G354" s="1">
        <v>27</v>
      </c>
      <c r="H354" s="2">
        <v>264.60000000000002</v>
      </c>
    </row>
    <row r="355" spans="1:8">
      <c r="A355" s="1">
        <v>2022</v>
      </c>
      <c r="B355" s="1">
        <v>6</v>
      </c>
      <c r="C355" s="1" t="s">
        <v>25</v>
      </c>
      <c r="D355" s="1" t="s">
        <v>148</v>
      </c>
      <c r="E355" s="1" t="s">
        <v>24</v>
      </c>
      <c r="F355" s="2">
        <v>9.8000000000000007</v>
      </c>
      <c r="G355" s="1">
        <v>13</v>
      </c>
      <c r="H355" s="2">
        <v>127.4</v>
      </c>
    </row>
    <row r="356" spans="1:8">
      <c r="A356" s="1">
        <v>2021</v>
      </c>
      <c r="B356" s="1">
        <v>2</v>
      </c>
      <c r="C356" s="1" t="s">
        <v>22</v>
      </c>
      <c r="D356" s="1" t="s">
        <v>16</v>
      </c>
      <c r="E356" s="1" t="s">
        <v>21</v>
      </c>
      <c r="F356" s="2">
        <v>29.9</v>
      </c>
      <c r="G356" s="1">
        <v>16</v>
      </c>
      <c r="H356" s="2">
        <v>478.4</v>
      </c>
    </row>
    <row r="357" spans="1:8">
      <c r="A357" s="1">
        <v>2020</v>
      </c>
      <c r="B357" s="1">
        <v>5</v>
      </c>
      <c r="C357" s="1" t="s">
        <v>13</v>
      </c>
      <c r="D357" s="1" t="s">
        <v>70</v>
      </c>
      <c r="E357" s="1" t="s">
        <v>18</v>
      </c>
      <c r="F357" s="2">
        <v>14.9</v>
      </c>
      <c r="G357" s="1">
        <v>19</v>
      </c>
      <c r="H357" s="2">
        <v>283.10000000000002</v>
      </c>
    </row>
    <row r="358" spans="1:8">
      <c r="A358" s="1">
        <v>2021</v>
      </c>
      <c r="B358" s="1">
        <v>12</v>
      </c>
      <c r="C358" s="1" t="s">
        <v>25</v>
      </c>
      <c r="D358" s="1" t="s">
        <v>14</v>
      </c>
      <c r="E358" s="1" t="s">
        <v>12</v>
      </c>
      <c r="F358" s="2">
        <v>19.899999999999999</v>
      </c>
      <c r="G358" s="1">
        <v>13</v>
      </c>
      <c r="H358" s="2">
        <v>258.7</v>
      </c>
    </row>
    <row r="359" spans="1:8">
      <c r="A359" s="1">
        <v>2023</v>
      </c>
      <c r="B359" s="1">
        <v>12</v>
      </c>
      <c r="C359" s="1" t="s">
        <v>19</v>
      </c>
      <c r="D359" s="1" t="s">
        <v>143</v>
      </c>
      <c r="E359" s="1" t="s">
        <v>12</v>
      </c>
      <c r="F359" s="2">
        <v>19.899999999999999</v>
      </c>
      <c r="G359" s="1">
        <v>28</v>
      </c>
      <c r="H359" s="2">
        <v>557.20000000000005</v>
      </c>
    </row>
    <row r="360" spans="1:8">
      <c r="A360" s="1">
        <v>2023</v>
      </c>
      <c r="B360" s="1">
        <v>4</v>
      </c>
      <c r="C360" s="1" t="s">
        <v>15</v>
      </c>
      <c r="D360" s="1" t="s">
        <v>56</v>
      </c>
      <c r="E360" s="1" t="s">
        <v>10</v>
      </c>
      <c r="F360" s="2">
        <v>15.8</v>
      </c>
      <c r="G360" s="1">
        <v>25</v>
      </c>
      <c r="H360" s="2">
        <v>395</v>
      </c>
    </row>
    <row r="361" spans="1:8">
      <c r="A361" s="1">
        <v>2020</v>
      </c>
      <c r="B361" s="1">
        <v>1</v>
      </c>
      <c r="C361" s="1" t="s">
        <v>13</v>
      </c>
      <c r="D361" s="1" t="s">
        <v>53</v>
      </c>
      <c r="E361" s="1" t="s">
        <v>24</v>
      </c>
      <c r="F361" s="2">
        <v>9.8000000000000007</v>
      </c>
      <c r="G361" s="1">
        <v>20</v>
      </c>
      <c r="H361" s="2">
        <v>196</v>
      </c>
    </row>
    <row r="362" spans="1:8">
      <c r="A362" s="1">
        <v>2019</v>
      </c>
      <c r="B362" s="1">
        <v>11</v>
      </c>
      <c r="C362" s="1" t="s">
        <v>15</v>
      </c>
      <c r="D362" s="1" t="s">
        <v>181</v>
      </c>
      <c r="E362" s="1" t="s">
        <v>10</v>
      </c>
      <c r="F362" s="2">
        <v>15.8</v>
      </c>
      <c r="G362" s="1">
        <v>18</v>
      </c>
      <c r="H362" s="2">
        <v>284.39999999999998</v>
      </c>
    </row>
    <row r="363" spans="1:8">
      <c r="A363" s="1">
        <v>2022</v>
      </c>
      <c r="B363" s="1">
        <v>8</v>
      </c>
      <c r="C363" s="1" t="s">
        <v>8</v>
      </c>
      <c r="D363" s="1" t="s">
        <v>84</v>
      </c>
      <c r="E363" s="1" t="s">
        <v>18</v>
      </c>
      <c r="F363" s="2">
        <v>14.9</v>
      </c>
      <c r="G363" s="1">
        <v>14</v>
      </c>
      <c r="H363" s="2">
        <v>208.6</v>
      </c>
    </row>
    <row r="364" spans="1:8">
      <c r="A364" s="1">
        <v>2019</v>
      </c>
      <c r="B364" s="1">
        <v>2</v>
      </c>
      <c r="C364" s="1" t="s">
        <v>8</v>
      </c>
      <c r="D364" s="1" t="s">
        <v>49</v>
      </c>
      <c r="E364" s="1" t="s">
        <v>12</v>
      </c>
      <c r="F364" s="2">
        <v>19.899999999999999</v>
      </c>
      <c r="G364" s="1">
        <v>28</v>
      </c>
      <c r="H364" s="2">
        <v>557.20000000000005</v>
      </c>
    </row>
    <row r="365" spans="1:8">
      <c r="A365" s="1">
        <v>2019</v>
      </c>
      <c r="B365" s="1">
        <v>3</v>
      </c>
      <c r="C365" s="1" t="s">
        <v>25</v>
      </c>
      <c r="D365" s="1" t="s">
        <v>100</v>
      </c>
      <c r="E365" s="1" t="s">
        <v>21</v>
      </c>
      <c r="F365" s="2">
        <v>29.9</v>
      </c>
      <c r="G365" s="1">
        <v>30</v>
      </c>
      <c r="H365" s="2">
        <v>897</v>
      </c>
    </row>
    <row r="366" spans="1:8">
      <c r="A366" s="1">
        <v>2022</v>
      </c>
      <c r="B366" s="1">
        <v>3</v>
      </c>
      <c r="C366" s="1" t="s">
        <v>8</v>
      </c>
      <c r="D366" s="1" t="s">
        <v>138</v>
      </c>
      <c r="E366" s="1" t="s">
        <v>28</v>
      </c>
      <c r="F366" s="2">
        <v>49.5</v>
      </c>
      <c r="G366" s="1">
        <v>14</v>
      </c>
      <c r="H366" s="2">
        <v>693</v>
      </c>
    </row>
    <row r="367" spans="1:8">
      <c r="A367" s="1">
        <v>2023</v>
      </c>
      <c r="B367" s="1">
        <v>10</v>
      </c>
      <c r="C367" s="1" t="s">
        <v>13</v>
      </c>
      <c r="D367" s="1" t="s">
        <v>64</v>
      </c>
      <c r="E367" s="1" t="s">
        <v>21</v>
      </c>
      <c r="F367" s="2">
        <v>29.9</v>
      </c>
      <c r="G367" s="1">
        <v>25</v>
      </c>
      <c r="H367" s="2">
        <v>747.5</v>
      </c>
    </row>
    <row r="368" spans="1:8">
      <c r="A368" s="1">
        <v>2023</v>
      </c>
      <c r="B368" s="1">
        <v>9</v>
      </c>
      <c r="C368" s="1" t="s">
        <v>25</v>
      </c>
      <c r="D368" s="1" t="s">
        <v>182</v>
      </c>
      <c r="E368" s="1" t="s">
        <v>21</v>
      </c>
      <c r="F368" s="2">
        <v>29.9</v>
      </c>
      <c r="G368" s="1">
        <v>13</v>
      </c>
      <c r="H368" s="2">
        <v>388.7</v>
      </c>
    </row>
    <row r="369" spans="1:8">
      <c r="A369" s="1">
        <v>2020</v>
      </c>
      <c r="B369" s="1">
        <v>2</v>
      </c>
      <c r="C369" s="1" t="s">
        <v>19</v>
      </c>
      <c r="D369" s="1" t="s">
        <v>32</v>
      </c>
      <c r="E369" s="1" t="s">
        <v>24</v>
      </c>
      <c r="F369" s="2">
        <v>9.8000000000000007</v>
      </c>
      <c r="G369" s="1">
        <v>13</v>
      </c>
      <c r="H369" s="2">
        <v>127.4</v>
      </c>
    </row>
    <row r="370" spans="1:8">
      <c r="A370" s="1">
        <v>2020</v>
      </c>
      <c r="B370" s="1">
        <v>1</v>
      </c>
      <c r="C370" s="1" t="s">
        <v>8</v>
      </c>
      <c r="D370" s="1" t="s">
        <v>64</v>
      </c>
      <c r="E370" s="1" t="s">
        <v>12</v>
      </c>
      <c r="F370" s="2">
        <v>19.899999999999999</v>
      </c>
      <c r="G370" s="1">
        <v>26</v>
      </c>
      <c r="H370" s="2">
        <v>517.4</v>
      </c>
    </row>
    <row r="371" spans="1:8">
      <c r="A371" s="1">
        <v>2020</v>
      </c>
      <c r="B371" s="1">
        <v>3</v>
      </c>
      <c r="C371" s="1" t="s">
        <v>22</v>
      </c>
      <c r="D371" s="1" t="s">
        <v>183</v>
      </c>
      <c r="E371" s="1" t="s">
        <v>12</v>
      </c>
      <c r="F371" s="2">
        <v>19.899999999999999</v>
      </c>
      <c r="G371" s="1">
        <v>15</v>
      </c>
      <c r="H371" s="2">
        <v>298.5</v>
      </c>
    </row>
    <row r="372" spans="1:8">
      <c r="A372" s="1">
        <v>2019</v>
      </c>
      <c r="B372" s="1">
        <v>7</v>
      </c>
      <c r="C372" s="1" t="s">
        <v>8</v>
      </c>
      <c r="D372" s="1" t="s">
        <v>102</v>
      </c>
      <c r="E372" s="1" t="s">
        <v>10</v>
      </c>
      <c r="F372" s="2">
        <v>15.8</v>
      </c>
      <c r="G372" s="1">
        <v>20</v>
      </c>
      <c r="H372" s="2">
        <v>316</v>
      </c>
    </row>
    <row r="373" spans="1:8">
      <c r="A373" s="1">
        <v>2021</v>
      </c>
      <c r="B373" s="1">
        <v>4</v>
      </c>
      <c r="C373" s="1" t="s">
        <v>13</v>
      </c>
      <c r="D373" s="1" t="s">
        <v>184</v>
      </c>
      <c r="E373" s="1" t="s">
        <v>10</v>
      </c>
      <c r="F373" s="2">
        <v>15.8</v>
      </c>
      <c r="G373" s="1">
        <v>19</v>
      </c>
      <c r="H373" s="2">
        <v>300.2</v>
      </c>
    </row>
    <row r="374" spans="1:8">
      <c r="A374" s="1">
        <v>2021</v>
      </c>
      <c r="B374" s="1">
        <v>6</v>
      </c>
      <c r="C374" s="1" t="s">
        <v>19</v>
      </c>
      <c r="D374" s="1" t="s">
        <v>153</v>
      </c>
      <c r="E374" s="1" t="s">
        <v>28</v>
      </c>
      <c r="F374" s="2">
        <v>49.5</v>
      </c>
      <c r="G374" s="1">
        <v>13</v>
      </c>
      <c r="H374" s="2">
        <v>643.5</v>
      </c>
    </row>
    <row r="375" spans="1:8">
      <c r="A375" s="1">
        <v>2021</v>
      </c>
      <c r="B375" s="1">
        <v>12</v>
      </c>
      <c r="C375" s="1" t="s">
        <v>15</v>
      </c>
      <c r="D375" s="1" t="s">
        <v>38</v>
      </c>
      <c r="E375" s="1" t="s">
        <v>21</v>
      </c>
      <c r="F375" s="2">
        <v>29.9</v>
      </c>
      <c r="G375" s="1">
        <v>14</v>
      </c>
      <c r="H375" s="2">
        <v>418.6</v>
      </c>
    </row>
    <row r="376" spans="1:8">
      <c r="A376" s="1">
        <v>2020</v>
      </c>
      <c r="B376" s="1">
        <v>7</v>
      </c>
      <c r="C376" s="1" t="s">
        <v>8</v>
      </c>
      <c r="D376" s="1" t="s">
        <v>185</v>
      </c>
      <c r="E376" s="1" t="s">
        <v>24</v>
      </c>
      <c r="F376" s="2">
        <v>9.8000000000000007</v>
      </c>
      <c r="G376" s="1">
        <v>8</v>
      </c>
      <c r="H376" s="2">
        <v>78.400000000000006</v>
      </c>
    </row>
    <row r="377" spans="1:8">
      <c r="A377" s="1">
        <v>2021</v>
      </c>
      <c r="B377" s="1">
        <v>6</v>
      </c>
      <c r="C377" s="1" t="s">
        <v>22</v>
      </c>
      <c r="D377" s="1" t="s">
        <v>176</v>
      </c>
      <c r="E377" s="1" t="s">
        <v>10</v>
      </c>
      <c r="F377" s="2">
        <v>15.8</v>
      </c>
      <c r="G377" s="1">
        <v>20</v>
      </c>
      <c r="H377" s="2">
        <v>316</v>
      </c>
    </row>
    <row r="378" spans="1:8">
      <c r="A378" s="1">
        <v>2020</v>
      </c>
      <c r="B378" s="1">
        <v>8</v>
      </c>
      <c r="C378" s="1" t="s">
        <v>8</v>
      </c>
      <c r="D378" s="1" t="s">
        <v>85</v>
      </c>
      <c r="E378" s="1" t="s">
        <v>21</v>
      </c>
      <c r="F378" s="2">
        <v>29.9</v>
      </c>
      <c r="G378" s="1">
        <v>27</v>
      </c>
      <c r="H378" s="2">
        <v>807.3</v>
      </c>
    </row>
    <row r="379" spans="1:8">
      <c r="A379" s="1">
        <v>2023</v>
      </c>
      <c r="B379" s="1">
        <v>8</v>
      </c>
      <c r="C379" s="1" t="s">
        <v>22</v>
      </c>
      <c r="D379" s="1" t="s">
        <v>14</v>
      </c>
      <c r="E379" s="1" t="s">
        <v>24</v>
      </c>
      <c r="F379" s="2">
        <v>9.8000000000000007</v>
      </c>
      <c r="G379" s="1">
        <v>29</v>
      </c>
      <c r="H379" s="2">
        <v>284.2</v>
      </c>
    </row>
    <row r="380" spans="1:8">
      <c r="A380" s="1">
        <v>2023</v>
      </c>
      <c r="B380" s="1">
        <v>2</v>
      </c>
      <c r="C380" s="1" t="s">
        <v>22</v>
      </c>
      <c r="D380" s="1" t="s">
        <v>74</v>
      </c>
      <c r="E380" s="1" t="s">
        <v>24</v>
      </c>
      <c r="F380" s="2">
        <v>9.8000000000000007</v>
      </c>
      <c r="G380" s="1">
        <v>16</v>
      </c>
      <c r="H380" s="2">
        <v>156.80000000000001</v>
      </c>
    </row>
    <row r="381" spans="1:8">
      <c r="A381" s="1">
        <v>2019</v>
      </c>
      <c r="B381" s="1">
        <v>10</v>
      </c>
      <c r="C381" s="1" t="s">
        <v>13</v>
      </c>
      <c r="D381" s="1" t="s">
        <v>56</v>
      </c>
      <c r="E381" s="1" t="s">
        <v>12</v>
      </c>
      <c r="F381" s="2">
        <v>19.899999999999999</v>
      </c>
      <c r="G381" s="1">
        <v>11</v>
      </c>
      <c r="H381" s="2">
        <v>218.9</v>
      </c>
    </row>
    <row r="382" spans="1:8">
      <c r="A382" s="1">
        <v>2023</v>
      </c>
      <c r="B382" s="1">
        <v>9</v>
      </c>
      <c r="C382" s="1" t="s">
        <v>15</v>
      </c>
      <c r="D382" s="1" t="s">
        <v>30</v>
      </c>
      <c r="E382" s="1" t="s">
        <v>12</v>
      </c>
      <c r="F382" s="2">
        <v>19.899999999999999</v>
      </c>
      <c r="G382" s="1">
        <v>19</v>
      </c>
      <c r="H382" s="2">
        <v>378.1</v>
      </c>
    </row>
    <row r="383" spans="1:8">
      <c r="A383" s="1">
        <v>2019</v>
      </c>
      <c r="B383" s="1">
        <v>11</v>
      </c>
      <c r="C383" s="1" t="s">
        <v>15</v>
      </c>
      <c r="D383" s="1" t="s">
        <v>61</v>
      </c>
      <c r="E383" s="1" t="s">
        <v>28</v>
      </c>
      <c r="F383" s="2">
        <v>49.5</v>
      </c>
      <c r="G383" s="1">
        <v>21</v>
      </c>
      <c r="H383" s="2">
        <v>1039.5</v>
      </c>
    </row>
    <row r="384" spans="1:8">
      <c r="A384" s="1">
        <v>2022</v>
      </c>
      <c r="B384" s="1">
        <v>1</v>
      </c>
      <c r="C384" s="1" t="s">
        <v>25</v>
      </c>
      <c r="D384" s="1" t="s">
        <v>182</v>
      </c>
      <c r="E384" s="1" t="s">
        <v>21</v>
      </c>
      <c r="F384" s="2">
        <v>29.9</v>
      </c>
      <c r="G384" s="1">
        <v>19</v>
      </c>
      <c r="H384" s="2">
        <v>568.1</v>
      </c>
    </row>
    <row r="385" spans="1:8">
      <c r="A385" s="1">
        <v>2023</v>
      </c>
      <c r="B385" s="1">
        <v>1</v>
      </c>
      <c r="C385" s="1" t="s">
        <v>22</v>
      </c>
      <c r="D385" s="1" t="s">
        <v>93</v>
      </c>
      <c r="E385" s="1" t="s">
        <v>24</v>
      </c>
      <c r="F385" s="2">
        <v>9.8000000000000007</v>
      </c>
      <c r="G385" s="1">
        <v>5</v>
      </c>
      <c r="H385" s="2">
        <v>49</v>
      </c>
    </row>
    <row r="386" spans="1:8">
      <c r="A386" s="1">
        <v>2022</v>
      </c>
      <c r="B386" s="1">
        <v>5</v>
      </c>
      <c r="C386" s="1" t="s">
        <v>13</v>
      </c>
      <c r="D386" s="1" t="s">
        <v>175</v>
      </c>
      <c r="E386" s="1" t="s">
        <v>28</v>
      </c>
      <c r="F386" s="2">
        <v>49.5</v>
      </c>
      <c r="G386" s="1">
        <v>6</v>
      </c>
      <c r="H386" s="2">
        <v>297</v>
      </c>
    </row>
    <row r="387" spans="1:8">
      <c r="A387" s="1">
        <v>2022</v>
      </c>
      <c r="B387" s="1">
        <v>6</v>
      </c>
      <c r="C387" s="1" t="s">
        <v>8</v>
      </c>
      <c r="D387" s="1" t="s">
        <v>26</v>
      </c>
      <c r="E387" s="1" t="s">
        <v>28</v>
      </c>
      <c r="F387" s="2">
        <v>49.5</v>
      </c>
      <c r="G387" s="1">
        <v>7</v>
      </c>
      <c r="H387" s="2">
        <v>346.5</v>
      </c>
    </row>
    <row r="388" spans="1:8">
      <c r="A388" s="1">
        <v>2022</v>
      </c>
      <c r="B388" s="1">
        <v>1</v>
      </c>
      <c r="C388" s="1" t="s">
        <v>19</v>
      </c>
      <c r="D388" s="1" t="s">
        <v>107</v>
      </c>
      <c r="E388" s="1" t="s">
        <v>10</v>
      </c>
      <c r="F388" s="2">
        <v>15.8</v>
      </c>
      <c r="G388" s="1">
        <v>29</v>
      </c>
      <c r="H388" s="2">
        <v>458.2</v>
      </c>
    </row>
    <row r="389" spans="1:8">
      <c r="A389" s="1">
        <v>2022</v>
      </c>
      <c r="B389" s="1">
        <v>6</v>
      </c>
      <c r="C389" s="1" t="s">
        <v>25</v>
      </c>
      <c r="D389" s="1" t="s">
        <v>130</v>
      </c>
      <c r="E389" s="1" t="s">
        <v>21</v>
      </c>
      <c r="F389" s="2">
        <v>29.9</v>
      </c>
      <c r="G389" s="1">
        <v>7</v>
      </c>
      <c r="H389" s="2">
        <v>209.3</v>
      </c>
    </row>
    <row r="390" spans="1:8">
      <c r="A390" s="1">
        <v>2023</v>
      </c>
      <c r="B390" s="1">
        <v>3</v>
      </c>
      <c r="C390" s="1" t="s">
        <v>8</v>
      </c>
      <c r="D390" s="1" t="s">
        <v>105</v>
      </c>
      <c r="E390" s="1" t="s">
        <v>10</v>
      </c>
      <c r="F390" s="2">
        <v>15.8</v>
      </c>
      <c r="G390" s="1">
        <v>22</v>
      </c>
      <c r="H390" s="2">
        <v>347.6</v>
      </c>
    </row>
    <row r="391" spans="1:8">
      <c r="A391" s="1">
        <v>2022</v>
      </c>
      <c r="B391" s="1">
        <v>9</v>
      </c>
      <c r="C391" s="1" t="s">
        <v>15</v>
      </c>
      <c r="D391" s="1" t="s">
        <v>80</v>
      </c>
      <c r="E391" s="1" t="s">
        <v>28</v>
      </c>
      <c r="F391" s="2">
        <v>49.5</v>
      </c>
      <c r="G391" s="1">
        <v>14</v>
      </c>
      <c r="H391" s="2">
        <v>693</v>
      </c>
    </row>
    <row r="392" spans="1:8">
      <c r="A392" s="1">
        <v>2022</v>
      </c>
      <c r="B392" s="1">
        <v>11</v>
      </c>
      <c r="C392" s="1" t="s">
        <v>8</v>
      </c>
      <c r="D392" s="1" t="s">
        <v>16</v>
      </c>
      <c r="E392" s="1" t="s">
        <v>12</v>
      </c>
      <c r="F392" s="2">
        <v>19.899999999999999</v>
      </c>
      <c r="G392" s="1">
        <v>17</v>
      </c>
      <c r="H392" s="2">
        <v>338.3</v>
      </c>
    </row>
    <row r="393" spans="1:8">
      <c r="A393" s="1">
        <v>2020</v>
      </c>
      <c r="B393" s="1">
        <v>4</v>
      </c>
      <c r="C393" s="1" t="s">
        <v>25</v>
      </c>
      <c r="D393" s="1" t="s">
        <v>114</v>
      </c>
      <c r="E393" s="1" t="s">
        <v>18</v>
      </c>
      <c r="F393" s="2">
        <v>14.9</v>
      </c>
      <c r="G393" s="1">
        <v>11</v>
      </c>
      <c r="H393" s="2">
        <v>163.9</v>
      </c>
    </row>
    <row r="394" spans="1:8">
      <c r="A394" s="1">
        <v>2019</v>
      </c>
      <c r="B394" s="1">
        <v>1</v>
      </c>
      <c r="C394" s="1" t="s">
        <v>8</v>
      </c>
      <c r="D394" s="1" t="s">
        <v>77</v>
      </c>
      <c r="E394" s="1" t="s">
        <v>28</v>
      </c>
      <c r="F394" s="2">
        <v>49.5</v>
      </c>
      <c r="G394" s="1">
        <v>12</v>
      </c>
      <c r="H394" s="2">
        <v>594</v>
      </c>
    </row>
    <row r="395" spans="1:8">
      <c r="A395" s="1">
        <v>2020</v>
      </c>
      <c r="B395" s="1">
        <v>2</v>
      </c>
      <c r="C395" s="1" t="s">
        <v>13</v>
      </c>
      <c r="D395" s="1" t="s">
        <v>124</v>
      </c>
      <c r="E395" s="1" t="s">
        <v>21</v>
      </c>
      <c r="F395" s="2">
        <v>29.9</v>
      </c>
      <c r="G395" s="1">
        <v>24</v>
      </c>
      <c r="H395" s="2">
        <v>717.6</v>
      </c>
    </row>
    <row r="396" spans="1:8">
      <c r="A396" s="1">
        <v>2019</v>
      </c>
      <c r="B396" s="1">
        <v>4</v>
      </c>
      <c r="C396" s="1" t="s">
        <v>8</v>
      </c>
      <c r="D396" s="1" t="s">
        <v>186</v>
      </c>
      <c r="E396" s="1" t="s">
        <v>21</v>
      </c>
      <c r="F396" s="2">
        <v>29.9</v>
      </c>
      <c r="G396" s="1">
        <v>12</v>
      </c>
      <c r="H396" s="2">
        <v>358.8</v>
      </c>
    </row>
    <row r="397" spans="1:8">
      <c r="A397" s="1">
        <v>2023</v>
      </c>
      <c r="B397" s="1">
        <v>4</v>
      </c>
      <c r="C397" s="1" t="s">
        <v>13</v>
      </c>
      <c r="D397" s="1" t="s">
        <v>182</v>
      </c>
      <c r="E397" s="1" t="s">
        <v>18</v>
      </c>
      <c r="F397" s="2">
        <v>14.9</v>
      </c>
      <c r="G397" s="1">
        <v>12</v>
      </c>
      <c r="H397" s="2">
        <v>178.8</v>
      </c>
    </row>
    <row r="398" spans="1:8">
      <c r="A398" s="1">
        <v>2023</v>
      </c>
      <c r="B398" s="1">
        <v>6</v>
      </c>
      <c r="C398" s="1" t="s">
        <v>22</v>
      </c>
      <c r="D398" s="1" t="s">
        <v>85</v>
      </c>
      <c r="E398" s="1" t="s">
        <v>10</v>
      </c>
      <c r="F398" s="2">
        <v>15.8</v>
      </c>
      <c r="G398" s="1">
        <v>14</v>
      </c>
      <c r="H398" s="2">
        <v>221.2</v>
      </c>
    </row>
    <row r="399" spans="1:8">
      <c r="A399" s="1">
        <v>2020</v>
      </c>
      <c r="B399" s="1">
        <v>11</v>
      </c>
      <c r="C399" s="1" t="s">
        <v>22</v>
      </c>
      <c r="D399" s="1" t="s">
        <v>110</v>
      </c>
      <c r="E399" s="1" t="s">
        <v>18</v>
      </c>
      <c r="F399" s="2">
        <v>14.9</v>
      </c>
      <c r="G399" s="1">
        <v>13</v>
      </c>
      <c r="H399" s="2">
        <v>193.7</v>
      </c>
    </row>
    <row r="400" spans="1:8">
      <c r="A400" s="1">
        <v>2019</v>
      </c>
      <c r="B400" s="1">
        <v>9</v>
      </c>
      <c r="C400" s="1" t="s">
        <v>22</v>
      </c>
      <c r="D400" s="1" t="s">
        <v>17</v>
      </c>
      <c r="E400" s="1" t="s">
        <v>12</v>
      </c>
      <c r="F400" s="2">
        <v>19.899999999999999</v>
      </c>
      <c r="G400" s="1">
        <v>20</v>
      </c>
      <c r="H400" s="2">
        <v>398</v>
      </c>
    </row>
    <row r="401" spans="1:8">
      <c r="A401" s="1">
        <v>2019</v>
      </c>
      <c r="B401" s="1">
        <v>6</v>
      </c>
      <c r="C401" s="1" t="s">
        <v>8</v>
      </c>
      <c r="D401" s="1" t="s">
        <v>128</v>
      </c>
      <c r="E401" s="1" t="s">
        <v>18</v>
      </c>
      <c r="F401" s="2">
        <v>14.9</v>
      </c>
      <c r="G401" s="1">
        <v>27</v>
      </c>
      <c r="H401" s="2">
        <v>402.3</v>
      </c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27919-F780-884D-8918-780FBE54D073}">
  <dimension ref="A7:G18"/>
  <sheetViews>
    <sheetView showGridLines="0" showRowColHeaders="0" tabSelected="1" zoomScale="163" zoomScaleNormal="163" workbookViewId="0">
      <selection activeCell="Q33" sqref="Q33"/>
    </sheetView>
  </sheetViews>
  <sheetFormatPr baseColWidth="10" defaultRowHeight="14"/>
  <sheetData>
    <row r="7" spans="6:7">
      <c r="G7" s="5"/>
    </row>
    <row r="12" spans="6:7">
      <c r="F12" s="6"/>
    </row>
    <row r="18" spans="1:1">
      <c r="A18" s="7"/>
    </row>
  </sheetData>
  <phoneticPr fontId="1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Pivot_calculations.xlsx</vt:lpstr>
      <vt:lpstr>retail_sales_dataset.xlsx</vt:lpstr>
      <vt:lpstr>retail_sales_dashboard.xlsx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Yice Sun</cp:lastModifiedBy>
  <dcterms:created xsi:type="dcterms:W3CDTF">2026-05-12T15:53:09Z</dcterms:created>
  <dcterms:modified xsi:type="dcterms:W3CDTF">2026-05-13T01:27:12Z</dcterms:modified>
</cp:coreProperties>
</file>